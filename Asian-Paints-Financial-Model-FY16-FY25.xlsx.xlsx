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Session 12&amp;13\"/>
    </mc:Choice>
  </mc:AlternateContent>
  <bookViews>
    <workbookView xWindow="0" yWindow="0" windowWidth="20490" windowHeight="8205" firstSheet="6" activeTab="8"/>
  </bookViews>
  <sheets>
    <sheet name="Ratio Analysis" sheetId="11" r:id="rId1"/>
    <sheet name="Cash Flow Data" sheetId="10" r:id="rId2"/>
    <sheet name="WACC" sheetId="13" r:id="rId3"/>
    <sheet name="Forecasting" sheetId="12" r:id="rId4"/>
    <sheet name="HistoricalFS" sheetId="7" r:id="rId5"/>
    <sheet name="Intrisic Growth" sheetId="15" r:id="rId6"/>
    <sheet name="Raw FS" sheetId="14" r:id="rId7"/>
    <sheet name="DCF" sheetId="16" r:id="rId8"/>
    <sheet name="Football Field Analysis" sheetId="17" r:id="rId9"/>
    <sheet name="Data Sheet" sheetId="6" r:id="rId10"/>
    <sheet name="Comp_Value" sheetId="18" r:id="rId11"/>
    <sheet name="Data" sheetId="19" r:id="rId12"/>
  </sheets>
  <externalReferences>
    <externalReference r:id="rId13"/>
    <externalReference r:id="rId14"/>
    <externalReference r:id="rId15"/>
  </externalReferences>
  <definedNames>
    <definedName name="UPDATE">'Data Sheet'!$E$1</definedName>
  </definedNames>
  <calcPr calcId="162913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1" i="16" l="1"/>
  <c r="D22" i="16"/>
  <c r="Q29" i="18"/>
  <c r="M18" i="18"/>
  <c r="L18" i="18"/>
  <c r="K18" i="18"/>
  <c r="G18" i="18"/>
  <c r="F18" i="18"/>
  <c r="Q18" i="18" s="1"/>
  <c r="E18" i="18"/>
  <c r="D18" i="18"/>
  <c r="M17" i="18"/>
  <c r="L17" i="18"/>
  <c r="K17" i="18"/>
  <c r="G17" i="18"/>
  <c r="E17" i="18"/>
  <c r="F17" i="18" s="1"/>
  <c r="D17" i="18"/>
  <c r="M16" i="18"/>
  <c r="L16" i="18"/>
  <c r="K16" i="18"/>
  <c r="G16" i="18"/>
  <c r="E16" i="18"/>
  <c r="F16" i="18" s="1"/>
  <c r="D16" i="18"/>
  <c r="M15" i="18"/>
  <c r="L15" i="18"/>
  <c r="K15" i="18"/>
  <c r="G15" i="18"/>
  <c r="E15" i="18"/>
  <c r="F15" i="18" s="1"/>
  <c r="D15" i="18"/>
  <c r="M14" i="18"/>
  <c r="L14" i="18"/>
  <c r="K14" i="18"/>
  <c r="G14" i="18"/>
  <c r="E14" i="18"/>
  <c r="F14" i="18" s="1"/>
  <c r="D14" i="18"/>
  <c r="M13" i="18"/>
  <c r="L13" i="18"/>
  <c r="K13" i="18"/>
  <c r="G13" i="18"/>
  <c r="F13" i="18"/>
  <c r="Q13" i="18" s="1"/>
  <c r="E13" i="18"/>
  <c r="D13" i="18"/>
  <c r="M12" i="18"/>
  <c r="L12" i="18"/>
  <c r="K12" i="18"/>
  <c r="G12" i="18"/>
  <c r="E12" i="18"/>
  <c r="F12" i="18" s="1"/>
  <c r="D12" i="18"/>
  <c r="M11" i="18"/>
  <c r="L11" i="18"/>
  <c r="K11" i="18"/>
  <c r="G11" i="18"/>
  <c r="E11" i="18"/>
  <c r="F11" i="18" s="1"/>
  <c r="D11" i="18"/>
  <c r="M10" i="18"/>
  <c r="L10" i="18"/>
  <c r="K10" i="18"/>
  <c r="G10" i="18"/>
  <c r="F10" i="18"/>
  <c r="Q10" i="18" s="1"/>
  <c r="E10" i="18"/>
  <c r="D10" i="18"/>
  <c r="M9" i="18"/>
  <c r="L9" i="18"/>
  <c r="K9" i="18"/>
  <c r="G9" i="18"/>
  <c r="P29" i="18" s="1"/>
  <c r="E9" i="18"/>
  <c r="Q31" i="18" s="1"/>
  <c r="D9" i="18"/>
  <c r="B9" i="18"/>
  <c r="M12" i="19"/>
  <c r="I12" i="19"/>
  <c r="F12" i="19"/>
  <c r="J12" i="19" s="1"/>
  <c r="M11" i="19"/>
  <c r="J11" i="19"/>
  <c r="I11" i="19"/>
  <c r="F11" i="19"/>
  <c r="M10" i="19"/>
  <c r="I10" i="19"/>
  <c r="F10" i="19"/>
  <c r="J10" i="19" s="1"/>
  <c r="M9" i="19"/>
  <c r="J9" i="19"/>
  <c r="I9" i="19"/>
  <c r="F9" i="19"/>
  <c r="M8" i="19"/>
  <c r="I8" i="19"/>
  <c r="F8" i="19"/>
  <c r="J8" i="19" s="1"/>
  <c r="M7" i="19"/>
  <c r="J7" i="19"/>
  <c r="I7" i="19"/>
  <c r="F7" i="19"/>
  <c r="M6" i="19"/>
  <c r="I6" i="19"/>
  <c r="F6" i="19"/>
  <c r="J6" i="19" s="1"/>
  <c r="M5" i="19"/>
  <c r="J5" i="19"/>
  <c r="I5" i="19"/>
  <c r="F5" i="19"/>
  <c r="M4" i="19"/>
  <c r="I4" i="19"/>
  <c r="F4" i="19"/>
  <c r="J4" i="19" s="1"/>
  <c r="M3" i="19"/>
  <c r="J3" i="19"/>
  <c r="I3" i="19"/>
  <c r="F3" i="19"/>
  <c r="Q15" i="18" l="1"/>
  <c r="H15" i="18"/>
  <c r="Q14" i="18"/>
  <c r="H14" i="18"/>
  <c r="H17" i="18"/>
  <c r="Q17" i="18"/>
  <c r="H12" i="18"/>
  <c r="Q12" i="18"/>
  <c r="H16" i="18"/>
  <c r="Q16" i="18"/>
  <c r="Q11" i="18"/>
  <c r="H11" i="18"/>
  <c r="H18" i="18"/>
  <c r="F9" i="18"/>
  <c r="P31" i="18"/>
  <c r="H10" i="18"/>
  <c r="H13" i="18"/>
  <c r="O31" i="18"/>
  <c r="O29" i="18"/>
  <c r="O12" i="18" l="1"/>
  <c r="P12" i="18"/>
  <c r="H9" i="18"/>
  <c r="Q9" i="18"/>
  <c r="P18" i="18"/>
  <c r="O18" i="18"/>
  <c r="P17" i="18"/>
  <c r="O17" i="18"/>
  <c r="O11" i="18"/>
  <c r="P11" i="18"/>
  <c r="P14" i="18"/>
  <c r="O14" i="18"/>
  <c r="P13" i="18"/>
  <c r="O13" i="18"/>
  <c r="O16" i="18"/>
  <c r="P16" i="18"/>
  <c r="P15" i="18"/>
  <c r="O15" i="18"/>
  <c r="P10" i="18"/>
  <c r="O10" i="18"/>
  <c r="Q24" i="18" l="1"/>
  <c r="Q22" i="18"/>
  <c r="Q21" i="18"/>
  <c r="Q23" i="18"/>
  <c r="Q30" i="18" s="1"/>
  <c r="Q20" i="18"/>
  <c r="Q25" i="18"/>
  <c r="O9" i="18"/>
  <c r="P9" i="18"/>
  <c r="P22" i="18" l="1"/>
  <c r="P23" i="18"/>
  <c r="P28" i="18" s="1"/>
  <c r="P30" i="18" s="1"/>
  <c r="P33" i="18" s="1"/>
  <c r="P35" i="18" s="1"/>
  <c r="P20" i="18"/>
  <c r="P25" i="18"/>
  <c r="P24" i="18"/>
  <c r="P21" i="18"/>
  <c r="O25" i="18"/>
  <c r="O22" i="18"/>
  <c r="O23" i="18"/>
  <c r="O28" i="18" s="1"/>
  <c r="O30" i="18" s="1"/>
  <c r="O33" i="18" s="1"/>
  <c r="O35" i="18" s="1"/>
  <c r="O20" i="18"/>
  <c r="O21" i="18"/>
  <c r="O24" i="18"/>
  <c r="Q33" i="18"/>
  <c r="Q35" i="18" s="1"/>
  <c r="Q28" i="18"/>
  <c r="D35" i="16" l="1"/>
  <c r="D33" i="16"/>
  <c r="D32" i="16"/>
  <c r="F9" i="16"/>
  <c r="G9" i="16" s="1"/>
  <c r="H9" i="16" s="1"/>
  <c r="I9" i="16" s="1"/>
  <c r="J9" i="16" s="1"/>
  <c r="K22" i="13"/>
  <c r="E21" i="13"/>
  <c r="J17" i="13"/>
  <c r="G17" i="13"/>
  <c r="E22" i="13" s="1"/>
  <c r="K31" i="13" s="1"/>
  <c r="J16" i="13"/>
  <c r="G16" i="13"/>
  <c r="F14" i="13"/>
  <c r="E14" i="13"/>
  <c r="I14" i="13" s="1"/>
  <c r="F13" i="13"/>
  <c r="E13" i="13"/>
  <c r="I13" i="13" s="1"/>
  <c r="F12" i="13"/>
  <c r="E12" i="13"/>
  <c r="I12" i="13" s="1"/>
  <c r="F11" i="13"/>
  <c r="E11" i="13"/>
  <c r="I11" i="13" s="1"/>
  <c r="J10" i="13"/>
  <c r="F10" i="13"/>
  <c r="C32" i="13" s="1"/>
  <c r="E10" i="13"/>
  <c r="C31" i="13" s="1"/>
  <c r="H10" i="13" l="1"/>
  <c r="K10" i="13" s="1"/>
  <c r="K17" i="13" s="1"/>
  <c r="K29" i="13" s="1"/>
  <c r="I10" i="13"/>
  <c r="H13" i="13"/>
  <c r="K13" i="13" s="1"/>
  <c r="C33" i="13"/>
  <c r="D33" i="13" s="1"/>
  <c r="E33" i="13" s="1"/>
  <c r="I16" i="13"/>
  <c r="E31" i="13" s="1"/>
  <c r="E23" i="13"/>
  <c r="K39" i="13" s="1"/>
  <c r="D32" i="13"/>
  <c r="H14" i="13"/>
  <c r="K14" i="13" s="1"/>
  <c r="H12" i="13"/>
  <c r="K12" i="13" s="1"/>
  <c r="H11" i="13"/>
  <c r="K11" i="13" s="1"/>
  <c r="I17" i="13"/>
  <c r="K16" i="13" l="1"/>
  <c r="K40" i="13"/>
  <c r="H17" i="13"/>
  <c r="E32" i="13"/>
  <c r="K37" i="13" s="1"/>
  <c r="H16" i="13"/>
  <c r="D31" i="13"/>
  <c r="D35" i="13" s="1"/>
  <c r="E35" i="13" l="1"/>
  <c r="K30" i="13" s="1"/>
  <c r="K32" i="13" s="1"/>
  <c r="K23" i="13" s="1"/>
  <c r="K24" i="13" s="1"/>
  <c r="K36" i="13" s="1"/>
  <c r="K42" i="13" s="1"/>
  <c r="D16" i="16" s="1"/>
  <c r="I10" i="16" l="1"/>
  <c r="F10" i="16"/>
  <c r="G10" i="16"/>
  <c r="H10" i="16"/>
  <c r="J10" i="16"/>
  <c r="J7" i="16"/>
  <c r="E7" i="16"/>
  <c r="F7" i="16" l="1"/>
  <c r="G7" i="16" s="1"/>
  <c r="H7" i="16" s="1"/>
  <c r="I7" i="16" s="1"/>
  <c r="F5" i="16"/>
  <c r="G5" i="16" s="1"/>
  <c r="H5" i="16" s="1"/>
  <c r="I5" i="16" s="1"/>
  <c r="J5" i="16" s="1"/>
  <c r="E4" i="16"/>
  <c r="F4" i="16" s="1"/>
  <c r="C33" i="6"/>
  <c r="D33" i="6"/>
  <c r="E33" i="6"/>
  <c r="F33" i="6"/>
  <c r="G33" i="6"/>
  <c r="H33" i="6"/>
  <c r="I33" i="6"/>
  <c r="J33" i="6"/>
  <c r="K33" i="6"/>
  <c r="B33" i="6"/>
  <c r="E6" i="16" l="1"/>
  <c r="E8" i="16" s="1"/>
  <c r="F6" i="16"/>
  <c r="F8" i="16" s="1"/>
  <c r="F12" i="16" s="1"/>
  <c r="G4" i="16"/>
  <c r="H39" i="15"/>
  <c r="I39" i="15"/>
  <c r="J39" i="15"/>
  <c r="K39" i="15"/>
  <c r="G39" i="15"/>
  <c r="H29" i="15"/>
  <c r="I29" i="15"/>
  <c r="J29" i="15"/>
  <c r="K29" i="15"/>
  <c r="G29" i="15"/>
  <c r="G21" i="15"/>
  <c r="H21" i="15"/>
  <c r="I21" i="15"/>
  <c r="J21" i="15"/>
  <c r="K21" i="15"/>
  <c r="G22" i="15"/>
  <c r="H22" i="15"/>
  <c r="I22" i="15"/>
  <c r="J22" i="15"/>
  <c r="K22" i="15"/>
  <c r="G23" i="15"/>
  <c r="H23" i="15"/>
  <c r="I23" i="15"/>
  <c r="J23" i="15"/>
  <c r="K23" i="15"/>
  <c r="G24" i="15"/>
  <c r="H24" i="15"/>
  <c r="I24" i="15"/>
  <c r="J24" i="15"/>
  <c r="K24" i="15"/>
  <c r="G25" i="15"/>
  <c r="H25" i="15"/>
  <c r="I25" i="15"/>
  <c r="J25" i="15"/>
  <c r="K25" i="15"/>
  <c r="G26" i="15"/>
  <c r="H26" i="15"/>
  <c r="I26" i="15"/>
  <c r="J26" i="15"/>
  <c r="K26" i="15"/>
  <c r="G27" i="15"/>
  <c r="H27" i="15"/>
  <c r="I27" i="15"/>
  <c r="J27" i="15"/>
  <c r="K27" i="15"/>
  <c r="H20" i="15"/>
  <c r="I20" i="15"/>
  <c r="J20" i="15"/>
  <c r="K20" i="15"/>
  <c r="G20" i="15"/>
  <c r="H8" i="15"/>
  <c r="I8" i="15"/>
  <c r="J8" i="15"/>
  <c r="K8" i="15"/>
  <c r="G8" i="15"/>
  <c r="H7" i="15"/>
  <c r="I7" i="15"/>
  <c r="J7" i="15"/>
  <c r="K7" i="15"/>
  <c r="G7" i="15"/>
  <c r="G13" i="15"/>
  <c r="H13" i="15"/>
  <c r="I13" i="15"/>
  <c r="J13" i="15"/>
  <c r="K13" i="15"/>
  <c r="G14" i="15"/>
  <c r="H14" i="15"/>
  <c r="I14" i="15"/>
  <c r="J14" i="15"/>
  <c r="K14" i="15"/>
  <c r="H12" i="15"/>
  <c r="I12" i="15"/>
  <c r="J12" i="15"/>
  <c r="J15" i="15" s="1"/>
  <c r="K12" i="15"/>
  <c r="K15" i="15" s="1"/>
  <c r="G12" i="15"/>
  <c r="H6" i="15"/>
  <c r="I6" i="15"/>
  <c r="J6" i="15"/>
  <c r="K6" i="15"/>
  <c r="G6" i="15"/>
  <c r="H5" i="15"/>
  <c r="I5" i="15"/>
  <c r="J5" i="15"/>
  <c r="K5" i="15"/>
  <c r="G5" i="15"/>
  <c r="K2" i="15"/>
  <c r="J2" i="15"/>
  <c r="J37" i="15" s="1"/>
  <c r="J53" i="15" s="1"/>
  <c r="I2" i="15"/>
  <c r="I37" i="15" s="1"/>
  <c r="I53" i="15" s="1"/>
  <c r="H2" i="15"/>
  <c r="H37" i="15" s="1"/>
  <c r="H53" i="15" s="1"/>
  <c r="G2" i="15"/>
  <c r="G37" i="15" s="1"/>
  <c r="G53" i="15" s="1"/>
  <c r="N29" i="14"/>
  <c r="M29" i="14"/>
  <c r="L29" i="14"/>
  <c r="K29" i="14"/>
  <c r="J29" i="14"/>
  <c r="I29" i="14"/>
  <c r="H29" i="14"/>
  <c r="G29" i="14"/>
  <c r="F29" i="14"/>
  <c r="E29" i="14"/>
  <c r="D29" i="14"/>
  <c r="C29" i="14"/>
  <c r="H4" i="16" l="1"/>
  <c r="G6" i="16"/>
  <c r="G8" i="16" s="1"/>
  <c r="G12" i="16" s="1"/>
  <c r="K37" i="15"/>
  <c r="K53" i="15" s="1"/>
  <c r="E2" i="16"/>
  <c r="F2" i="16" s="1"/>
  <c r="G2" i="16" s="1"/>
  <c r="H2" i="16" s="1"/>
  <c r="I2" i="16" s="1"/>
  <c r="J2" i="16" s="1"/>
  <c r="I28" i="15"/>
  <c r="I30" i="15" s="1"/>
  <c r="H28" i="15"/>
  <c r="H30" i="15" s="1"/>
  <c r="I15" i="15"/>
  <c r="J9" i="15"/>
  <c r="G15" i="15"/>
  <c r="H15" i="15"/>
  <c r="J17" i="15"/>
  <c r="K28" i="15"/>
  <c r="K30" i="15" s="1"/>
  <c r="K32" i="15" s="1"/>
  <c r="G28" i="15"/>
  <c r="G30" i="15" s="1"/>
  <c r="J28" i="15"/>
  <c r="J30" i="15" s="1"/>
  <c r="K9" i="15"/>
  <c r="K17" i="15" s="1"/>
  <c r="H9" i="15"/>
  <c r="H17" i="15" s="1"/>
  <c r="H32" i="15" s="1"/>
  <c r="I9" i="15"/>
  <c r="I17" i="15" s="1"/>
  <c r="I40" i="15" s="1"/>
  <c r="I46" i="15" s="1"/>
  <c r="G9" i="15"/>
  <c r="G17" i="15" s="1"/>
  <c r="G32" i="15" s="1"/>
  <c r="L2" i="12"/>
  <c r="L5" i="12"/>
  <c r="L6" i="12" s="1"/>
  <c r="L7" i="12" s="1"/>
  <c r="L8" i="12" s="1"/>
  <c r="L9" i="12" s="1"/>
  <c r="L10" i="12" s="1"/>
  <c r="L11" i="12" s="1"/>
  <c r="L12" i="12" s="1"/>
  <c r="L13" i="12" s="1"/>
  <c r="L14" i="12" s="1"/>
  <c r="M4" i="12"/>
  <c r="M5" i="12" s="1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I4" i="12" a="1"/>
  <c r="I9" i="12" s="1"/>
  <c r="H4" i="12"/>
  <c r="H5" i="12"/>
  <c r="H6" i="12" s="1"/>
  <c r="H7" i="12" s="1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C4" i="12"/>
  <c r="C5" i="12" s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B2" i="12"/>
  <c r="G2" i="12"/>
  <c r="G5" i="12"/>
  <c r="G6" i="12" s="1"/>
  <c r="G7" i="12" s="1"/>
  <c r="G8" i="12" s="1"/>
  <c r="G9" i="12" s="1"/>
  <c r="G10" i="12" s="1"/>
  <c r="G11" i="12" s="1"/>
  <c r="G12" i="12" s="1"/>
  <c r="G13" i="12" s="1"/>
  <c r="G14" i="12" s="1"/>
  <c r="E6" i="12"/>
  <c r="E7" i="12"/>
  <c r="E8" i="12"/>
  <c r="E9" i="12"/>
  <c r="E10" i="12"/>
  <c r="E11" i="12"/>
  <c r="E12" i="12"/>
  <c r="E13" i="12"/>
  <c r="D4" i="12" a="1"/>
  <c r="D5" i="12" s="1"/>
  <c r="B5" i="12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I4" i="16" l="1"/>
  <c r="H6" i="16"/>
  <c r="H8" i="16" s="1"/>
  <c r="H12" i="16" s="1"/>
  <c r="J40" i="15"/>
  <c r="J46" i="15" s="1"/>
  <c r="J32" i="15"/>
  <c r="K40" i="15"/>
  <c r="K46" i="15" s="1"/>
  <c r="I32" i="15"/>
  <c r="H40" i="15"/>
  <c r="H46" i="15" s="1"/>
  <c r="L15" i="12"/>
  <c r="I8" i="12"/>
  <c r="I7" i="12"/>
  <c r="I6" i="12"/>
  <c r="I13" i="12"/>
  <c r="I5" i="12"/>
  <c r="I12" i="12"/>
  <c r="J12" i="12" s="1"/>
  <c r="I11" i="12"/>
  <c r="I10" i="12"/>
  <c r="G15" i="12"/>
  <c r="J9" i="12"/>
  <c r="J6" i="12"/>
  <c r="J10" i="12"/>
  <c r="D12" i="12"/>
  <c r="D4" i="12"/>
  <c r="D11" i="12"/>
  <c r="D10" i="12"/>
  <c r="D9" i="12"/>
  <c r="D8" i="12"/>
  <c r="D7" i="12"/>
  <c r="D6" i="12"/>
  <c r="D13" i="12"/>
  <c r="J4" i="16" l="1"/>
  <c r="J6" i="16" s="1"/>
  <c r="J8" i="16" s="1"/>
  <c r="I6" i="16"/>
  <c r="I8" i="16" s="1"/>
  <c r="I12" i="16" s="1"/>
  <c r="D14" i="12"/>
  <c r="E14" i="12" s="1"/>
  <c r="E5" i="12"/>
  <c r="D17" i="12"/>
  <c r="D18" i="12"/>
  <c r="D15" i="12"/>
  <c r="D16" i="12"/>
  <c r="L16" i="12"/>
  <c r="J13" i="12"/>
  <c r="G16" i="12"/>
  <c r="J11" i="12"/>
  <c r="J7" i="12"/>
  <c r="J8" i="12"/>
  <c r="D20" i="16" l="1"/>
  <c r="D24" i="16" s="1"/>
  <c r="D29" i="16" s="1"/>
  <c r="D30" i="16" s="1"/>
  <c r="J12" i="16"/>
  <c r="D28" i="16" s="1"/>
  <c r="E16" i="12"/>
  <c r="E15" i="12"/>
  <c r="E17" i="12"/>
  <c r="E18" i="12"/>
  <c r="L17" i="12"/>
  <c r="G17" i="12"/>
  <c r="L18" i="12" l="1"/>
  <c r="G18" i="12"/>
  <c r="B2" i="11"/>
  <c r="D34" i="16" l="1"/>
  <c r="D37" i="16" s="1"/>
  <c r="L3" i="11"/>
  <c r="K3" i="11"/>
  <c r="J3" i="11"/>
  <c r="I3" i="11"/>
  <c r="H3" i="11"/>
  <c r="G3" i="11"/>
  <c r="F3" i="11"/>
  <c r="E3" i="11"/>
  <c r="D3" i="11"/>
  <c r="C3" i="11"/>
  <c r="D40" i="16" l="1"/>
  <c r="F19" i="16"/>
  <c r="L98" i="7"/>
  <c r="K98" i="7"/>
  <c r="J98" i="7"/>
  <c r="I98" i="7"/>
  <c r="H98" i="7"/>
  <c r="G98" i="7"/>
  <c r="F98" i="7"/>
  <c r="E98" i="7"/>
  <c r="D98" i="7"/>
  <c r="C98" i="7"/>
  <c r="L97" i="7"/>
  <c r="K97" i="7"/>
  <c r="J97" i="7"/>
  <c r="I97" i="7"/>
  <c r="H97" i="7"/>
  <c r="G97" i="7"/>
  <c r="F97" i="7"/>
  <c r="E97" i="7"/>
  <c r="D97" i="7"/>
  <c r="C97" i="7"/>
  <c r="L96" i="7"/>
  <c r="K96" i="7"/>
  <c r="J96" i="7"/>
  <c r="I96" i="7"/>
  <c r="H96" i="7"/>
  <c r="G96" i="7"/>
  <c r="F96" i="7"/>
  <c r="E96" i="7"/>
  <c r="D96" i="7"/>
  <c r="C96" i="7"/>
  <c r="L95" i="7"/>
  <c r="K95" i="7"/>
  <c r="J95" i="7"/>
  <c r="I95" i="7"/>
  <c r="H95" i="7"/>
  <c r="G95" i="7"/>
  <c r="F95" i="7"/>
  <c r="E95" i="7"/>
  <c r="D95" i="7"/>
  <c r="C95" i="7"/>
  <c r="L94" i="7"/>
  <c r="K94" i="7"/>
  <c r="J94" i="7"/>
  <c r="I94" i="7"/>
  <c r="H94" i="7"/>
  <c r="H99" i="7" s="1"/>
  <c r="G94" i="7"/>
  <c r="F94" i="7"/>
  <c r="E94" i="7"/>
  <c r="D94" i="7"/>
  <c r="C94" i="7"/>
  <c r="L93" i="7"/>
  <c r="K93" i="7"/>
  <c r="J93" i="7"/>
  <c r="J99" i="7" s="1"/>
  <c r="I93" i="7"/>
  <c r="H93" i="7"/>
  <c r="G93" i="7"/>
  <c r="F93" i="7"/>
  <c r="E93" i="7"/>
  <c r="D93" i="7"/>
  <c r="C93" i="7"/>
  <c r="L89" i="7"/>
  <c r="K89" i="7"/>
  <c r="J89" i="7"/>
  <c r="I89" i="7"/>
  <c r="H89" i="7"/>
  <c r="G89" i="7"/>
  <c r="F89" i="7"/>
  <c r="E89" i="7"/>
  <c r="D89" i="7"/>
  <c r="C89" i="7"/>
  <c r="L88" i="7"/>
  <c r="K88" i="7"/>
  <c r="J88" i="7"/>
  <c r="I88" i="7"/>
  <c r="H88" i="7"/>
  <c r="G88" i="7"/>
  <c r="F88" i="7"/>
  <c r="E88" i="7"/>
  <c r="D88" i="7"/>
  <c r="C88" i="7"/>
  <c r="L87" i="7"/>
  <c r="K87" i="7"/>
  <c r="J87" i="7"/>
  <c r="I87" i="7"/>
  <c r="H87" i="7"/>
  <c r="G87" i="7"/>
  <c r="F87" i="7"/>
  <c r="E87" i="7"/>
  <c r="D87" i="7"/>
  <c r="C87" i="7"/>
  <c r="L86" i="7"/>
  <c r="K86" i="7"/>
  <c r="J86" i="7"/>
  <c r="I86" i="7"/>
  <c r="H86" i="7"/>
  <c r="G86" i="7"/>
  <c r="F86" i="7"/>
  <c r="E86" i="7"/>
  <c r="D86" i="7"/>
  <c r="C86" i="7"/>
  <c r="L85" i="7"/>
  <c r="K85" i="7"/>
  <c r="J85" i="7"/>
  <c r="I85" i="7"/>
  <c r="H85" i="7"/>
  <c r="G85" i="7"/>
  <c r="F85" i="7"/>
  <c r="E85" i="7"/>
  <c r="D85" i="7"/>
  <c r="C85" i="7"/>
  <c r="L84" i="7"/>
  <c r="K84" i="7"/>
  <c r="J84" i="7"/>
  <c r="I84" i="7"/>
  <c r="H84" i="7"/>
  <c r="G84" i="7"/>
  <c r="F84" i="7"/>
  <c r="E84" i="7"/>
  <c r="D84" i="7"/>
  <c r="C84" i="7"/>
  <c r="L83" i="7"/>
  <c r="K83" i="7"/>
  <c r="J83" i="7"/>
  <c r="I83" i="7"/>
  <c r="H83" i="7"/>
  <c r="G83" i="7"/>
  <c r="F83" i="7"/>
  <c r="E83" i="7"/>
  <c r="D83" i="7"/>
  <c r="C83" i="7"/>
  <c r="L82" i="7"/>
  <c r="K82" i="7"/>
  <c r="J82" i="7"/>
  <c r="I82" i="7"/>
  <c r="H82" i="7"/>
  <c r="G82" i="7"/>
  <c r="F82" i="7"/>
  <c r="E82" i="7"/>
  <c r="D82" i="7"/>
  <c r="C82" i="7"/>
  <c r="L81" i="7"/>
  <c r="K81" i="7"/>
  <c r="K90" i="7" s="1"/>
  <c r="J81" i="7"/>
  <c r="I81" i="7"/>
  <c r="H81" i="7"/>
  <c r="G81" i="7"/>
  <c r="F81" i="7"/>
  <c r="E81" i="7"/>
  <c r="D81" i="7"/>
  <c r="C81" i="7"/>
  <c r="C90" i="7" s="1"/>
  <c r="L77" i="7"/>
  <c r="K77" i="7"/>
  <c r="J77" i="7"/>
  <c r="I77" i="7"/>
  <c r="H77" i="7"/>
  <c r="G77" i="7"/>
  <c r="F77" i="7"/>
  <c r="E77" i="7"/>
  <c r="D77" i="7"/>
  <c r="C77" i="7"/>
  <c r="L76" i="7"/>
  <c r="K76" i="7"/>
  <c r="J76" i="7"/>
  <c r="I76" i="7"/>
  <c r="H76" i="7"/>
  <c r="G76" i="7"/>
  <c r="F76" i="7"/>
  <c r="E76" i="7"/>
  <c r="D76" i="7"/>
  <c r="C76" i="7"/>
  <c r="L75" i="7"/>
  <c r="K75" i="7"/>
  <c r="J75" i="7"/>
  <c r="I75" i="7"/>
  <c r="H75" i="7"/>
  <c r="G75" i="7"/>
  <c r="F75" i="7"/>
  <c r="E75" i="7"/>
  <c r="D75" i="7"/>
  <c r="C75" i="7"/>
  <c r="L74" i="7"/>
  <c r="K74" i="7"/>
  <c r="J74" i="7"/>
  <c r="I74" i="7"/>
  <c r="H74" i="7"/>
  <c r="G74" i="7"/>
  <c r="F74" i="7"/>
  <c r="E74" i="7"/>
  <c r="D74" i="7"/>
  <c r="C74" i="7"/>
  <c r="L73" i="7"/>
  <c r="K73" i="7"/>
  <c r="J73" i="7"/>
  <c r="I73" i="7"/>
  <c r="H73" i="7"/>
  <c r="G73" i="7"/>
  <c r="F73" i="7"/>
  <c r="E73" i="7"/>
  <c r="D73" i="7"/>
  <c r="C73" i="7"/>
  <c r="L72" i="7"/>
  <c r="K72" i="7"/>
  <c r="J72" i="7"/>
  <c r="I72" i="7"/>
  <c r="H72" i="7"/>
  <c r="G72" i="7"/>
  <c r="F72" i="7"/>
  <c r="E72" i="7"/>
  <c r="D72" i="7"/>
  <c r="C72" i="7"/>
  <c r="L71" i="7"/>
  <c r="K71" i="7"/>
  <c r="J71" i="7"/>
  <c r="I71" i="7"/>
  <c r="H71" i="7"/>
  <c r="G71" i="7"/>
  <c r="F71" i="7"/>
  <c r="E71" i="7"/>
  <c r="D71" i="7"/>
  <c r="C71" i="7"/>
  <c r="L70" i="7"/>
  <c r="L78" i="7" s="1"/>
  <c r="K70" i="7"/>
  <c r="K78" i="7" s="1"/>
  <c r="J70" i="7"/>
  <c r="I70" i="7"/>
  <c r="H70" i="7"/>
  <c r="G70" i="7"/>
  <c r="F70" i="7"/>
  <c r="E70" i="7"/>
  <c r="D70" i="7"/>
  <c r="D78" i="7" s="1"/>
  <c r="C70" i="7"/>
  <c r="C78" i="7" s="1"/>
  <c r="L56" i="7"/>
  <c r="K56" i="7"/>
  <c r="J56" i="7"/>
  <c r="I56" i="7"/>
  <c r="H56" i="7"/>
  <c r="G56" i="7"/>
  <c r="F56" i="7"/>
  <c r="E56" i="7"/>
  <c r="D56" i="7"/>
  <c r="C56" i="7"/>
  <c r="L61" i="7"/>
  <c r="K61" i="7"/>
  <c r="J61" i="7"/>
  <c r="I61" i="7"/>
  <c r="H61" i="7"/>
  <c r="G61" i="7"/>
  <c r="F61" i="7"/>
  <c r="E61" i="7"/>
  <c r="D61" i="7"/>
  <c r="C61" i="7"/>
  <c r="L60" i="7"/>
  <c r="K60" i="7"/>
  <c r="J60" i="7"/>
  <c r="I60" i="7"/>
  <c r="H60" i="7"/>
  <c r="G60" i="7"/>
  <c r="F60" i="7"/>
  <c r="E60" i="7"/>
  <c r="D60" i="7"/>
  <c r="C60" i="7"/>
  <c r="L59" i="7"/>
  <c r="K59" i="7"/>
  <c r="J59" i="7"/>
  <c r="J62" i="7" s="1"/>
  <c r="I59" i="7"/>
  <c r="H59" i="7"/>
  <c r="G59" i="7"/>
  <c r="F59" i="7"/>
  <c r="E59" i="7"/>
  <c r="D59" i="7"/>
  <c r="C59" i="7"/>
  <c r="L55" i="7"/>
  <c r="K55" i="7"/>
  <c r="J55" i="7"/>
  <c r="I55" i="7"/>
  <c r="H55" i="7"/>
  <c r="G55" i="7"/>
  <c r="F55" i="7"/>
  <c r="E55" i="7"/>
  <c r="D55" i="7"/>
  <c r="C55" i="7"/>
  <c r="L54" i="7"/>
  <c r="K54" i="7"/>
  <c r="J54" i="7"/>
  <c r="I54" i="7"/>
  <c r="H54" i="7"/>
  <c r="G54" i="7"/>
  <c r="F54" i="7"/>
  <c r="E54" i="7"/>
  <c r="D54" i="7"/>
  <c r="C54" i="7"/>
  <c r="L53" i="7"/>
  <c r="K53" i="7"/>
  <c r="K57" i="7" s="1"/>
  <c r="J53" i="7"/>
  <c r="J57" i="7" s="1"/>
  <c r="I53" i="7"/>
  <c r="H53" i="7"/>
  <c r="G53" i="7"/>
  <c r="F53" i="7"/>
  <c r="E53" i="7"/>
  <c r="D53" i="7"/>
  <c r="C53" i="7"/>
  <c r="C57" i="7" s="1"/>
  <c r="L51" i="7"/>
  <c r="K51" i="7"/>
  <c r="J51" i="7"/>
  <c r="I51" i="7"/>
  <c r="H51" i="7"/>
  <c r="G51" i="7"/>
  <c r="F51" i="7"/>
  <c r="E51" i="7"/>
  <c r="D51" i="7"/>
  <c r="C51" i="7"/>
  <c r="L50" i="7"/>
  <c r="K50" i="7"/>
  <c r="J50" i="7"/>
  <c r="I50" i="7"/>
  <c r="H50" i="7"/>
  <c r="G50" i="7"/>
  <c r="F50" i="7"/>
  <c r="E50" i="7"/>
  <c r="D50" i="7"/>
  <c r="C50" i="7"/>
  <c r="L49" i="7"/>
  <c r="K49" i="7"/>
  <c r="J49" i="7"/>
  <c r="I49" i="7"/>
  <c r="H49" i="7"/>
  <c r="G49" i="7"/>
  <c r="F49" i="7"/>
  <c r="E49" i="7"/>
  <c r="D49" i="7"/>
  <c r="C49" i="7"/>
  <c r="L48" i="7"/>
  <c r="K48" i="7"/>
  <c r="J48" i="7"/>
  <c r="I48" i="7"/>
  <c r="H48" i="7"/>
  <c r="G48" i="7"/>
  <c r="F48" i="7"/>
  <c r="E48" i="7"/>
  <c r="D48" i="7"/>
  <c r="C48" i="7"/>
  <c r="L47" i="7"/>
  <c r="K47" i="7"/>
  <c r="J47" i="7"/>
  <c r="I47" i="7"/>
  <c r="H47" i="7"/>
  <c r="G47" i="7"/>
  <c r="F47" i="7"/>
  <c r="E47" i="7"/>
  <c r="D47" i="7"/>
  <c r="C47" i="7"/>
  <c r="M41" i="7"/>
  <c r="H41" i="7"/>
  <c r="M36" i="7"/>
  <c r="L36" i="7"/>
  <c r="L41" i="7" s="1"/>
  <c r="K36" i="7"/>
  <c r="J36" i="7"/>
  <c r="J41" i="7" s="1"/>
  <c r="I36" i="7"/>
  <c r="I41" i="7" s="1"/>
  <c r="H36" i="7"/>
  <c r="G36" i="7"/>
  <c r="G41" i="7" s="1"/>
  <c r="F36" i="7"/>
  <c r="F41" i="7" s="1"/>
  <c r="E36" i="7"/>
  <c r="E41" i="7" s="1"/>
  <c r="E9" i="11" s="1"/>
  <c r="D36" i="7"/>
  <c r="D41" i="7" s="1"/>
  <c r="C36" i="7"/>
  <c r="C41" i="7" s="1"/>
  <c r="M30" i="7"/>
  <c r="C30" i="7"/>
  <c r="L30" i="7"/>
  <c r="K30" i="7"/>
  <c r="J30" i="7"/>
  <c r="I30" i="7"/>
  <c r="H30" i="7"/>
  <c r="G30" i="7"/>
  <c r="F30" i="7"/>
  <c r="E30" i="7"/>
  <c r="D30" i="7"/>
  <c r="L24" i="7"/>
  <c r="K24" i="7"/>
  <c r="J24" i="7"/>
  <c r="I24" i="7"/>
  <c r="H24" i="7"/>
  <c r="G24" i="7"/>
  <c r="F24" i="7"/>
  <c r="E24" i="7"/>
  <c r="D24" i="7"/>
  <c r="C24" i="7"/>
  <c r="M24" i="7"/>
  <c r="M21" i="7"/>
  <c r="L21" i="7"/>
  <c r="K21" i="7"/>
  <c r="J21" i="7"/>
  <c r="I21" i="7"/>
  <c r="H21" i="7"/>
  <c r="G21" i="7"/>
  <c r="F21" i="7"/>
  <c r="E21" i="7"/>
  <c r="D21" i="7"/>
  <c r="C21" i="7"/>
  <c r="K51" i="6"/>
  <c r="J51" i="6"/>
  <c r="I51" i="6"/>
  <c r="H51" i="6"/>
  <c r="G51" i="6"/>
  <c r="F51" i="6"/>
  <c r="E51" i="6"/>
  <c r="D51" i="6"/>
  <c r="C51" i="6"/>
  <c r="H57" i="7" l="1"/>
  <c r="I78" i="7"/>
  <c r="I90" i="7"/>
  <c r="I57" i="7"/>
  <c r="C62" i="7"/>
  <c r="K62" i="7"/>
  <c r="K64" i="7" s="1"/>
  <c r="K66" i="7" s="1"/>
  <c r="I62" i="7"/>
  <c r="J78" i="7"/>
  <c r="J101" i="7" s="1"/>
  <c r="J90" i="7"/>
  <c r="C99" i="7"/>
  <c r="K99" i="7"/>
  <c r="I99" i="7"/>
  <c r="G99" i="7"/>
  <c r="D57" i="7"/>
  <c r="D64" i="7" s="1"/>
  <c r="D66" i="7" s="1"/>
  <c r="E62" i="7"/>
  <c r="F90" i="7"/>
  <c r="D99" i="7"/>
  <c r="L99" i="7"/>
  <c r="L57" i="7"/>
  <c r="E78" i="7"/>
  <c r="D90" i="7"/>
  <c r="F62" i="7"/>
  <c r="F64" i="7" s="1"/>
  <c r="F66" i="7" s="1"/>
  <c r="L62" i="7"/>
  <c r="G90" i="7"/>
  <c r="M18" i="7"/>
  <c r="E57" i="7"/>
  <c r="G62" i="7"/>
  <c r="G64" i="7" s="1"/>
  <c r="G66" i="7" s="1"/>
  <c r="F78" i="7"/>
  <c r="L90" i="7"/>
  <c r="L101" i="7" s="1"/>
  <c r="F57" i="7"/>
  <c r="H62" i="7"/>
  <c r="H64" i="7" s="1"/>
  <c r="D62" i="7"/>
  <c r="G78" i="7"/>
  <c r="E90" i="7"/>
  <c r="E101" i="7" s="1"/>
  <c r="E99" i="7"/>
  <c r="G57" i="7"/>
  <c r="H78" i="7"/>
  <c r="H101" i="7" s="1"/>
  <c r="H90" i="7"/>
  <c r="F99" i="7"/>
  <c r="J40" i="11"/>
  <c r="J9" i="11"/>
  <c r="C40" i="11"/>
  <c r="C101" i="7"/>
  <c r="D40" i="11"/>
  <c r="D101" i="7"/>
  <c r="L40" i="11"/>
  <c r="E40" i="11"/>
  <c r="F40" i="11"/>
  <c r="F101" i="7"/>
  <c r="I9" i="11"/>
  <c r="I40" i="11"/>
  <c r="I101" i="7"/>
  <c r="I64" i="7"/>
  <c r="I66" i="7" s="1"/>
  <c r="K40" i="11"/>
  <c r="K101" i="7"/>
  <c r="F9" i="11"/>
  <c r="E64" i="7"/>
  <c r="E66" i="7" s="1"/>
  <c r="G9" i="11"/>
  <c r="L64" i="7"/>
  <c r="L66" i="7" s="1"/>
  <c r="C64" i="7"/>
  <c r="C66" i="7" s="1"/>
  <c r="G40" i="11"/>
  <c r="G39" i="11"/>
  <c r="G101" i="7"/>
  <c r="J64" i="7"/>
  <c r="J66" i="7" s="1"/>
  <c r="H40" i="11"/>
  <c r="H9" i="11"/>
  <c r="D9" i="11"/>
  <c r="K41" i="7"/>
  <c r="L9" i="11"/>
  <c r="M27" i="7"/>
  <c r="H66" i="7" l="1"/>
  <c r="H39" i="11"/>
  <c r="L39" i="11"/>
  <c r="K39" i="11"/>
  <c r="E39" i="11"/>
  <c r="F39" i="11"/>
  <c r="I39" i="11"/>
  <c r="D39" i="11"/>
  <c r="K9" i="11"/>
  <c r="O9" i="11" s="1"/>
  <c r="J39" i="11"/>
  <c r="C39" i="11"/>
  <c r="N9" i="11"/>
  <c r="O40" i="11"/>
  <c r="N40" i="11"/>
  <c r="M33" i="7"/>
  <c r="M31" i="7"/>
  <c r="O39" i="11" l="1"/>
  <c r="N39" i="11"/>
  <c r="M38" i="7"/>
  <c r="M44" i="7" l="1"/>
  <c r="M42" i="7"/>
  <c r="B51" i="6" l="1"/>
  <c r="I4" i="12" s="1"/>
  <c r="J5" i="12" l="1"/>
  <c r="I14" i="12"/>
  <c r="J14" i="12" s="1"/>
  <c r="I15" i="12"/>
  <c r="J15" i="12" s="1"/>
  <c r="I16" i="12"/>
  <c r="J16" i="12" s="1"/>
  <c r="I17" i="12"/>
  <c r="I18" i="12"/>
  <c r="J18" i="12" s="1"/>
  <c r="M16" i="7"/>
  <c r="H16" i="7"/>
  <c r="H17" i="11" s="1"/>
  <c r="M15" i="7"/>
  <c r="L15" i="7"/>
  <c r="K15" i="7"/>
  <c r="J15" i="7"/>
  <c r="I15" i="7"/>
  <c r="I16" i="7" s="1"/>
  <c r="I17" i="11" s="1"/>
  <c r="H15" i="7"/>
  <c r="G15" i="7"/>
  <c r="G16" i="7" s="1"/>
  <c r="G17" i="11" s="1"/>
  <c r="F15" i="7"/>
  <c r="F16" i="7" s="1"/>
  <c r="F17" i="11" s="1"/>
  <c r="E15" i="7"/>
  <c r="D15" i="7"/>
  <c r="C15" i="7"/>
  <c r="M9" i="7"/>
  <c r="L9" i="7"/>
  <c r="L10" i="7" s="1"/>
  <c r="K9" i="7"/>
  <c r="J9" i="7"/>
  <c r="I9" i="7"/>
  <c r="H9" i="7"/>
  <c r="H12" i="7" s="1"/>
  <c r="G9" i="7"/>
  <c r="G12" i="7" s="1"/>
  <c r="F9" i="7"/>
  <c r="F12" i="7" s="1"/>
  <c r="E9" i="7"/>
  <c r="D9" i="7"/>
  <c r="D10" i="7" s="1"/>
  <c r="C9" i="7"/>
  <c r="M6" i="7"/>
  <c r="C6" i="7"/>
  <c r="D6" i="7"/>
  <c r="D12" i="7" s="1"/>
  <c r="D13" i="7" s="1"/>
  <c r="D11" i="11" s="1"/>
  <c r="E6" i="7"/>
  <c r="E16" i="7" s="1"/>
  <c r="E17" i="11" s="1"/>
  <c r="F6" i="7"/>
  <c r="G6" i="7"/>
  <c r="G7" i="7" s="1"/>
  <c r="G5" i="11" s="1"/>
  <c r="H6" i="7"/>
  <c r="H7" i="7" s="1"/>
  <c r="H5" i="11" s="1"/>
  <c r="I6" i="7"/>
  <c r="I7" i="7" s="1"/>
  <c r="I5" i="11" s="1"/>
  <c r="J6" i="7"/>
  <c r="K6" i="7"/>
  <c r="L6" i="7"/>
  <c r="L12" i="7" s="1"/>
  <c r="L13" i="7" s="1"/>
  <c r="L11" i="11" s="1"/>
  <c r="D3" i="7"/>
  <c r="E3" i="7"/>
  <c r="F3" i="7"/>
  <c r="G3" i="7"/>
  <c r="H3" i="7"/>
  <c r="I3" i="7"/>
  <c r="J3" i="7"/>
  <c r="K3" i="7"/>
  <c r="L3" i="7"/>
  <c r="C3" i="7"/>
  <c r="B2" i="7"/>
  <c r="J16" i="7" l="1"/>
  <c r="J17" i="11" s="1"/>
  <c r="J17" i="12"/>
  <c r="K16" i="7"/>
  <c r="K17" i="11" s="1"/>
  <c r="I10" i="7"/>
  <c r="D16" i="7"/>
  <c r="D17" i="11" s="1"/>
  <c r="L16" i="7"/>
  <c r="L17" i="11" s="1"/>
  <c r="J10" i="7"/>
  <c r="K10" i="7"/>
  <c r="F13" i="7"/>
  <c r="F11" i="11" s="1"/>
  <c r="F18" i="7"/>
  <c r="G13" i="7"/>
  <c r="G11" i="11" s="1"/>
  <c r="G18" i="7"/>
  <c r="H13" i="7"/>
  <c r="H11" i="11" s="1"/>
  <c r="H18" i="7"/>
  <c r="F10" i="7"/>
  <c r="E12" i="7"/>
  <c r="M12" i="7"/>
  <c r="M13" i="7" s="1"/>
  <c r="D18" i="7"/>
  <c r="L18" i="7"/>
  <c r="L31" i="11"/>
  <c r="L30" i="11"/>
  <c r="L29" i="11"/>
  <c r="L35" i="11" s="1"/>
  <c r="L28" i="11"/>
  <c r="L34" i="11" s="1"/>
  <c r="L27" i="11"/>
  <c r="L33" i="11" s="1"/>
  <c r="L22" i="7"/>
  <c r="L38" i="11"/>
  <c r="L25" i="7"/>
  <c r="L18" i="11" s="1"/>
  <c r="J31" i="11"/>
  <c r="J30" i="11"/>
  <c r="J27" i="11"/>
  <c r="J33" i="11" s="1"/>
  <c r="J29" i="11"/>
  <c r="J35" i="11" s="1"/>
  <c r="J28" i="11"/>
  <c r="J34" i="11" s="1"/>
  <c r="J36" i="11" s="1"/>
  <c r="J22" i="7"/>
  <c r="J38" i="11"/>
  <c r="J25" i="7"/>
  <c r="J18" i="11" s="1"/>
  <c r="H10" i="7"/>
  <c r="E31" i="11"/>
  <c r="E30" i="11"/>
  <c r="E29" i="11"/>
  <c r="E35" i="11" s="1"/>
  <c r="E28" i="11"/>
  <c r="E34" i="11" s="1"/>
  <c r="E36" i="11" s="1"/>
  <c r="E27" i="11"/>
  <c r="E33" i="11" s="1"/>
  <c r="E38" i="11"/>
  <c r="E25" i="7"/>
  <c r="E18" i="11" s="1"/>
  <c r="E22" i="7"/>
  <c r="I27" i="11"/>
  <c r="I33" i="11" s="1"/>
  <c r="I28" i="11"/>
  <c r="I34" i="11" s="1"/>
  <c r="I31" i="11"/>
  <c r="I30" i="11"/>
  <c r="I29" i="11"/>
  <c r="I35" i="11" s="1"/>
  <c r="I25" i="7"/>
  <c r="I18" i="11" s="1"/>
  <c r="I22" i="7"/>
  <c r="I38" i="11"/>
  <c r="E10" i="7"/>
  <c r="M22" i="7"/>
  <c r="M25" i="7"/>
  <c r="M19" i="7"/>
  <c r="M28" i="7"/>
  <c r="M34" i="7"/>
  <c r="D31" i="11"/>
  <c r="D30" i="11"/>
  <c r="D29" i="11"/>
  <c r="D35" i="11" s="1"/>
  <c r="D28" i="11"/>
  <c r="D34" i="11" s="1"/>
  <c r="D27" i="11"/>
  <c r="D33" i="11" s="1"/>
  <c r="D22" i="7"/>
  <c r="D25" i="7"/>
  <c r="D18" i="11" s="1"/>
  <c r="D38" i="11"/>
  <c r="K31" i="11"/>
  <c r="K30" i="11"/>
  <c r="K29" i="11"/>
  <c r="K35" i="11" s="1"/>
  <c r="K28" i="11"/>
  <c r="K34" i="11" s="1"/>
  <c r="K27" i="11"/>
  <c r="K33" i="11" s="1"/>
  <c r="K22" i="7"/>
  <c r="K38" i="11"/>
  <c r="K25" i="7"/>
  <c r="K18" i="11" s="1"/>
  <c r="G10" i="7"/>
  <c r="M7" i="7"/>
  <c r="E7" i="7"/>
  <c r="E5" i="11" s="1"/>
  <c r="G29" i="11"/>
  <c r="G35" i="11" s="1"/>
  <c r="G28" i="11"/>
  <c r="G34" i="11" s="1"/>
  <c r="G30" i="11"/>
  <c r="G27" i="11"/>
  <c r="G33" i="11" s="1"/>
  <c r="G31" i="11"/>
  <c r="G25" i="7"/>
  <c r="G18" i="11" s="1"/>
  <c r="G38" i="11"/>
  <c r="G22" i="7"/>
  <c r="K7" i="7"/>
  <c r="K5" i="11" s="1"/>
  <c r="J12" i="7"/>
  <c r="C29" i="11"/>
  <c r="C30" i="11"/>
  <c r="C28" i="11"/>
  <c r="C27" i="11"/>
  <c r="C31" i="11"/>
  <c r="C38" i="11"/>
  <c r="F7" i="7"/>
  <c r="F5" i="11" s="1"/>
  <c r="H28" i="11"/>
  <c r="H34" i="11" s="1"/>
  <c r="H27" i="11"/>
  <c r="H33" i="11" s="1"/>
  <c r="H31" i="11"/>
  <c r="H30" i="11"/>
  <c r="H29" i="11"/>
  <c r="H35" i="11" s="1"/>
  <c r="H22" i="7"/>
  <c r="H38" i="11"/>
  <c r="H25" i="7"/>
  <c r="H18" i="11" s="1"/>
  <c r="L7" i="7"/>
  <c r="L5" i="11" s="1"/>
  <c r="I12" i="7"/>
  <c r="F30" i="11"/>
  <c r="F29" i="11"/>
  <c r="F35" i="11" s="1"/>
  <c r="F28" i="11"/>
  <c r="F34" i="11" s="1"/>
  <c r="F27" i="11"/>
  <c r="F33" i="11" s="1"/>
  <c r="F31" i="11"/>
  <c r="F25" i="7"/>
  <c r="F18" i="11" s="1"/>
  <c r="F22" i="7"/>
  <c r="F38" i="11"/>
  <c r="J7" i="7"/>
  <c r="J5" i="11" s="1"/>
  <c r="K12" i="7"/>
  <c r="C16" i="7"/>
  <c r="C17" i="11" s="1"/>
  <c r="C22" i="7"/>
  <c r="C25" i="7"/>
  <c r="C18" i="11" s="1"/>
  <c r="C10" i="7"/>
  <c r="C12" i="7"/>
  <c r="C13" i="7" s="1"/>
  <c r="C11" i="11" s="1"/>
  <c r="D7" i="7"/>
  <c r="D5" i="11" s="1"/>
  <c r="M10" i="7"/>
  <c r="B6" i="6"/>
  <c r="E1" i="6"/>
  <c r="K36" i="11" l="1"/>
  <c r="D36" i="11"/>
  <c r="I36" i="11"/>
  <c r="C18" i="7"/>
  <c r="C25" i="11" s="1"/>
  <c r="H36" i="11"/>
  <c r="J18" i="7"/>
  <c r="J13" i="7"/>
  <c r="J11" i="11" s="1"/>
  <c r="G36" i="11"/>
  <c r="L36" i="11"/>
  <c r="C35" i="11"/>
  <c r="N29" i="11"/>
  <c r="O29" i="11"/>
  <c r="N18" i="11"/>
  <c r="O18" i="11"/>
  <c r="O38" i="11"/>
  <c r="N38" i="11"/>
  <c r="G25" i="11"/>
  <c r="G21" i="11"/>
  <c r="G13" i="11"/>
  <c r="G19" i="11" s="1"/>
  <c r="G6" i="11"/>
  <c r="G19" i="7"/>
  <c r="G12" i="11" s="1"/>
  <c r="G27" i="7"/>
  <c r="O17" i="11"/>
  <c r="N17" i="11"/>
  <c r="C33" i="11"/>
  <c r="O33" i="11" s="1"/>
  <c r="O27" i="11"/>
  <c r="N27" i="11"/>
  <c r="L13" i="11"/>
  <c r="L19" i="11" s="1"/>
  <c r="L25" i="11"/>
  <c r="L21" i="11"/>
  <c r="L27" i="7"/>
  <c r="K33" i="15" s="1"/>
  <c r="L19" i="7"/>
  <c r="L12" i="11" s="1"/>
  <c r="I13" i="7"/>
  <c r="I11" i="11" s="1"/>
  <c r="I18" i="7"/>
  <c r="E13" i="7"/>
  <c r="E11" i="11" s="1"/>
  <c r="E18" i="7"/>
  <c r="H21" i="11"/>
  <c r="H13" i="11"/>
  <c r="H19" i="11" s="1"/>
  <c r="H25" i="11"/>
  <c r="H6" i="11"/>
  <c r="H27" i="7"/>
  <c r="G33" i="15" s="1"/>
  <c r="H19" i="7"/>
  <c r="H12" i="11" s="1"/>
  <c r="N31" i="11"/>
  <c r="O31" i="11"/>
  <c r="F36" i="11"/>
  <c r="K18" i="7"/>
  <c r="K13" i="7"/>
  <c r="K11" i="11" s="1"/>
  <c r="C34" i="11"/>
  <c r="O28" i="11"/>
  <c r="N28" i="11"/>
  <c r="D13" i="11"/>
  <c r="D19" i="11" s="1"/>
  <c r="D25" i="11"/>
  <c r="D21" i="11"/>
  <c r="D27" i="7"/>
  <c r="D19" i="7"/>
  <c r="D12" i="11" s="1"/>
  <c r="F25" i="11"/>
  <c r="F13" i="11"/>
  <c r="F19" i="11" s="1"/>
  <c r="F21" i="11"/>
  <c r="F19" i="7"/>
  <c r="F12" i="11" s="1"/>
  <c r="F27" i="7"/>
  <c r="O5" i="11"/>
  <c r="N5" i="11"/>
  <c r="N30" i="11"/>
  <c r="O30" i="11"/>
  <c r="C19" i="7" l="1"/>
  <c r="C12" i="11" s="1"/>
  <c r="C21" i="11"/>
  <c r="C27" i="7"/>
  <c r="C31" i="7" s="1"/>
  <c r="D6" i="11"/>
  <c r="C13" i="11"/>
  <c r="C19" i="11" s="1"/>
  <c r="K42" i="15"/>
  <c r="K44" i="15" s="1"/>
  <c r="K48" i="15" s="1"/>
  <c r="K55" i="15" s="1"/>
  <c r="K35" i="15"/>
  <c r="K56" i="15" s="1"/>
  <c r="G42" i="15"/>
  <c r="G44" i="15" s="1"/>
  <c r="G35" i="15"/>
  <c r="N11" i="11"/>
  <c r="L33" i="7"/>
  <c r="L28" i="7"/>
  <c r="L14" i="11" s="1"/>
  <c r="L31" i="7"/>
  <c r="O11" i="11"/>
  <c r="K21" i="11"/>
  <c r="K13" i="11"/>
  <c r="K19" i="11" s="1"/>
  <c r="K25" i="11"/>
  <c r="K6" i="11"/>
  <c r="K27" i="7"/>
  <c r="J33" i="15" s="1"/>
  <c r="K19" i="7"/>
  <c r="K12" i="11" s="1"/>
  <c r="O35" i="11"/>
  <c r="N35" i="11"/>
  <c r="I21" i="11"/>
  <c r="I13" i="11"/>
  <c r="I19" i="11" s="1"/>
  <c r="I25" i="11"/>
  <c r="I6" i="11"/>
  <c r="I27" i="7"/>
  <c r="H33" i="15" s="1"/>
  <c r="I19" i="7"/>
  <c r="I12" i="11" s="1"/>
  <c r="O34" i="11"/>
  <c r="N34" i="11"/>
  <c r="C36" i="11"/>
  <c r="D33" i="7"/>
  <c r="D28" i="7"/>
  <c r="D14" i="11" s="1"/>
  <c r="D31" i="7"/>
  <c r="L6" i="11"/>
  <c r="F33" i="7"/>
  <c r="F28" i="7"/>
  <c r="F14" i="11" s="1"/>
  <c r="F31" i="7"/>
  <c r="G7" i="11"/>
  <c r="G31" i="7"/>
  <c r="G28" i="7"/>
  <c r="G14" i="11" s="1"/>
  <c r="G33" i="7"/>
  <c r="E13" i="11"/>
  <c r="E19" i="11" s="1"/>
  <c r="E25" i="11"/>
  <c r="O25" i="11" s="1"/>
  <c r="E21" i="11"/>
  <c r="E6" i="11"/>
  <c r="E27" i="7"/>
  <c r="E19" i="7"/>
  <c r="E12" i="11" s="1"/>
  <c r="F6" i="11"/>
  <c r="J21" i="11"/>
  <c r="J13" i="11"/>
  <c r="J19" i="11" s="1"/>
  <c r="J25" i="11"/>
  <c r="J6" i="11"/>
  <c r="J27" i="7"/>
  <c r="I33" i="15" s="1"/>
  <c r="J19" i="7"/>
  <c r="J12" i="11" s="1"/>
  <c r="H7" i="11"/>
  <c r="H28" i="7"/>
  <c r="H14" i="11" s="1"/>
  <c r="H31" i="7"/>
  <c r="H33" i="7"/>
  <c r="N33" i="11"/>
  <c r="D7" i="11" l="1"/>
  <c r="C33" i="7"/>
  <c r="C38" i="7" s="1"/>
  <c r="C28" i="7"/>
  <c r="C14" i="11" s="1"/>
  <c r="H42" i="15"/>
  <c r="H44" i="15" s="1"/>
  <c r="H48" i="15" s="1"/>
  <c r="H35" i="15"/>
  <c r="H56" i="15" s="1"/>
  <c r="J42" i="15"/>
  <c r="J44" i="15" s="1"/>
  <c r="J48" i="15" s="1"/>
  <c r="J55" i="15" s="1"/>
  <c r="J35" i="15"/>
  <c r="J56" i="15" s="1"/>
  <c r="O6" i="11"/>
  <c r="K58" i="15"/>
  <c r="N12" i="11"/>
  <c r="I42" i="15"/>
  <c r="I44" i="15" s="1"/>
  <c r="I48" i="15" s="1"/>
  <c r="I55" i="15" s="1"/>
  <c r="I58" i="15" s="1"/>
  <c r="I35" i="15"/>
  <c r="I56" i="15" s="1"/>
  <c r="N21" i="11"/>
  <c r="E7" i="11"/>
  <c r="E33" i="7"/>
  <c r="E28" i="7"/>
  <c r="E14" i="11" s="1"/>
  <c r="E31" i="7"/>
  <c r="D23" i="11"/>
  <c r="D34" i="7"/>
  <c r="D15" i="11" s="1"/>
  <c r="D38" i="7"/>
  <c r="K7" i="11"/>
  <c r="K28" i="7"/>
  <c r="K14" i="11" s="1"/>
  <c r="K33" i="7"/>
  <c r="K31" i="7"/>
  <c r="O21" i="11"/>
  <c r="F23" i="11"/>
  <c r="F8" i="11"/>
  <c r="F34" i="7"/>
  <c r="F15" i="11" s="1"/>
  <c r="F38" i="7"/>
  <c r="L23" i="11"/>
  <c r="L8" i="11"/>
  <c r="L34" i="7"/>
  <c r="L15" i="11" s="1"/>
  <c r="L38" i="7"/>
  <c r="N13" i="11"/>
  <c r="F7" i="11"/>
  <c r="N25" i="11"/>
  <c r="O12" i="11"/>
  <c r="H23" i="11"/>
  <c r="H8" i="11"/>
  <c r="H38" i="7"/>
  <c r="H34" i="7"/>
  <c r="H15" i="11" s="1"/>
  <c r="I7" i="11"/>
  <c r="I28" i="7"/>
  <c r="I14" i="11" s="1"/>
  <c r="I33" i="7"/>
  <c r="I31" i="7"/>
  <c r="N36" i="11"/>
  <c r="O36" i="11"/>
  <c r="N6" i="11"/>
  <c r="L7" i="11"/>
  <c r="D8" i="11"/>
  <c r="C23" i="11"/>
  <c r="O13" i="11"/>
  <c r="G23" i="11"/>
  <c r="G8" i="11"/>
  <c r="G34" i="7"/>
  <c r="G15" i="11" s="1"/>
  <c r="G38" i="7"/>
  <c r="J7" i="11"/>
  <c r="J28" i="7"/>
  <c r="J14" i="11" s="1"/>
  <c r="J33" i="7"/>
  <c r="J31" i="7"/>
  <c r="N19" i="11"/>
  <c r="O19" i="11"/>
  <c r="C34" i="7" l="1"/>
  <c r="C15" i="11" s="1"/>
  <c r="N14" i="11"/>
  <c r="O14" i="11"/>
  <c r="J58" i="15"/>
  <c r="K51" i="15"/>
  <c r="K50" i="15"/>
  <c r="H55" i="15"/>
  <c r="H58" i="15" s="1"/>
  <c r="N4" i="12" a="1"/>
  <c r="J23" i="11"/>
  <c r="J8" i="11"/>
  <c r="J38" i="7"/>
  <c r="J34" i="7"/>
  <c r="J15" i="11" s="1"/>
  <c r="F39" i="7"/>
  <c r="F42" i="7"/>
  <c r="F44" i="7" s="1"/>
  <c r="F22" i="11" s="1"/>
  <c r="F24" i="11" s="1"/>
  <c r="I23" i="11"/>
  <c r="I8" i="11"/>
  <c r="I34" i="7"/>
  <c r="I15" i="11" s="1"/>
  <c r="I38" i="7"/>
  <c r="D42" i="7"/>
  <c r="D44" i="7" s="1"/>
  <c r="D22" i="11" s="1"/>
  <c r="D24" i="11" s="1"/>
  <c r="G39" i="7"/>
  <c r="G42" i="7"/>
  <c r="G44" i="7" s="1"/>
  <c r="G22" i="11" s="1"/>
  <c r="G24" i="11" s="1"/>
  <c r="L42" i="7"/>
  <c r="L44" i="7" s="1"/>
  <c r="L22" i="11" s="1"/>
  <c r="L24" i="11" s="1"/>
  <c r="M39" i="7"/>
  <c r="H44" i="7"/>
  <c r="H22" i="11" s="1"/>
  <c r="H24" i="11" s="1"/>
  <c r="H39" i="7"/>
  <c r="H42" i="7"/>
  <c r="K23" i="11"/>
  <c r="K8" i="11"/>
  <c r="K34" i="7"/>
  <c r="K15" i="11" s="1"/>
  <c r="K38" i="7"/>
  <c r="E23" i="11"/>
  <c r="E8" i="11"/>
  <c r="O8" i="11" s="1"/>
  <c r="E34" i="7"/>
  <c r="E15" i="11" s="1"/>
  <c r="E38" i="7"/>
  <c r="N7" i="11"/>
  <c r="O7" i="11"/>
  <c r="D39" i="7"/>
  <c r="C42" i="7"/>
  <c r="C44" i="7" s="1"/>
  <c r="C22" i="11" s="1"/>
  <c r="O23" i="11" l="1"/>
  <c r="O15" i="11"/>
  <c r="N13" i="12"/>
  <c r="N11" i="12"/>
  <c r="N12" i="12"/>
  <c r="O12" i="12" s="1"/>
  <c r="N5" i="12"/>
  <c r="O5" i="12" s="1"/>
  <c r="N6" i="12"/>
  <c r="O6" i="12" s="1"/>
  <c r="N7" i="12"/>
  <c r="O7" i="12" s="1"/>
  <c r="N8" i="12"/>
  <c r="N10" i="12"/>
  <c r="N9" i="12"/>
  <c r="N4" i="12"/>
  <c r="K39" i="7"/>
  <c r="K42" i="7"/>
  <c r="K44" i="7" s="1"/>
  <c r="K22" i="11" s="1"/>
  <c r="K24" i="11" s="1"/>
  <c r="C24" i="11"/>
  <c r="N23" i="11"/>
  <c r="L39" i="7"/>
  <c r="N15" i="11"/>
  <c r="N8" i="11"/>
  <c r="J39" i="7"/>
  <c r="J42" i="7"/>
  <c r="J44" i="7" s="1"/>
  <c r="J22" i="11" s="1"/>
  <c r="J24" i="11" s="1"/>
  <c r="E39" i="7"/>
  <c r="E42" i="7"/>
  <c r="E44" i="7" s="1"/>
  <c r="E22" i="11" s="1"/>
  <c r="I39" i="7"/>
  <c r="I42" i="7"/>
  <c r="I44" i="7" s="1"/>
  <c r="I22" i="11" s="1"/>
  <c r="I24" i="11" s="1"/>
  <c r="O10" i="12" l="1"/>
  <c r="O9" i="12"/>
  <c r="O8" i="12"/>
  <c r="N14" i="12"/>
  <c r="O14" i="12" s="1"/>
  <c r="N16" i="12"/>
  <c r="N15" i="12"/>
  <c r="O15" i="12" s="1"/>
  <c r="N18" i="12"/>
  <c r="N17" i="12"/>
  <c r="O17" i="12" s="1"/>
  <c r="O11" i="12"/>
  <c r="O13" i="12"/>
  <c r="E24" i="11"/>
  <c r="O24" i="11" s="1"/>
  <c r="N22" i="11"/>
  <c r="O22" i="11"/>
  <c r="O18" i="12" l="1"/>
  <c r="O16" i="12"/>
  <c r="N24" i="11"/>
</calcChain>
</file>

<file path=xl/sharedStrings.xml><?xml version="1.0" encoding="utf-8"?>
<sst xmlns="http://schemas.openxmlformats.org/spreadsheetml/2006/main" count="506" uniqueCount="344">
  <si>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</si>
  <si>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</si>
  <si>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</si>
  <si>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</si>
  <si>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</si>
  <si>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</si>
  <si>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</si>
  <si>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</si>
  <si>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</si>
  <si>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</si>
  <si>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</si>
  <si>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</si>
  <si>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</si>
  <si>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</si>
  <si>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</si>
  <si>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</si>
  <si>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</si>
  <si>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</si>
  <si>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</si>
  <si>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</si>
  <si>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</si>
  <si>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</si>
  <si>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</si>
  <si>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</si>
  <si>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</si>
  <si>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</si>
  <si>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</si>
  <si>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</si>
  <si>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</si>
  <si>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</si>
  <si>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LATEST VERSION</t>
  </si>
  <si>
    <t>CURRENT VERSION</t>
  </si>
  <si>
    <t>ASIAN PAINTS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</si>
  <si>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</si>
  <si>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</si>
  <si>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</si>
  <si>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</si>
  <si>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</si>
  <si>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</si>
  <si>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</si>
  <si>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</si>
  <si>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</si>
  <si>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</si>
  <si>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</si>
  <si>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</si>
  <si>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</si>
  <si>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</si>
  <si>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</si>
  <si>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</si>
  <si>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</si>
  <si>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</si>
  <si>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</si>
  <si>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</si>
  <si>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</si>
  <si>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Total Liabilities</t>
  </si>
  <si>
    <t>Fixed Assets Net Block</t>
  </si>
  <si>
    <t>Total Non Current Assets</t>
  </si>
  <si>
    <t>#</t>
  </si>
  <si>
    <t>Income Statement</t>
  </si>
  <si>
    <t>Sales Growth</t>
  </si>
  <si>
    <t>COGS</t>
  </si>
  <si>
    <t>COGS % Sales</t>
  </si>
  <si>
    <t>Gross Profit</t>
  </si>
  <si>
    <t>Gross Margins</t>
  </si>
  <si>
    <t>Selling &amp; General Expenses</t>
  </si>
  <si>
    <t>S&amp;G Exp % Sales</t>
  </si>
  <si>
    <t>EBITDA</t>
  </si>
  <si>
    <t>EBITDA Margins</t>
  </si>
  <si>
    <t>Interest % Sales</t>
  </si>
  <si>
    <t>Depreciation %Sales</t>
  </si>
  <si>
    <t>Earning Before Tax</t>
  </si>
  <si>
    <t>EBT % Sales</t>
  </si>
  <si>
    <t>Effective Tax Rate</t>
  </si>
  <si>
    <t>Net Profit</t>
  </si>
  <si>
    <t>Net Margins</t>
  </si>
  <si>
    <t>Earning Per Share</t>
  </si>
  <si>
    <t>EPS Growth %</t>
  </si>
  <si>
    <t>Dividend Per Share</t>
  </si>
  <si>
    <t>Dividend Payout Ratio</t>
  </si>
  <si>
    <t>Retained Earnings</t>
  </si>
  <si>
    <t>Balance Sheet</t>
  </si>
  <si>
    <t>Total Current Assets</t>
  </si>
  <si>
    <t>Total Assets</t>
  </si>
  <si>
    <t>Check</t>
  </si>
  <si>
    <t>Cash Flow Statements</t>
  </si>
  <si>
    <t xml:space="preserve"> Operating Activities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</si>
  <si>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</si>
  <si>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</si>
  <si>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</si>
  <si>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</si>
  <si>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</si>
  <si>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</si>
  <si>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Cash from Operating Activities</t>
  </si>
  <si>
    <t>Investing Activities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</si>
  <si>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</si>
  <si>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</si>
  <si>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</si>
  <si>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</si>
  <si>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</si>
  <si>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</si>
  <si>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</si>
  <si>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Acquisition of companies</t>
  </si>
  <si>
    <t>Other investing items</t>
  </si>
  <si>
    <t>Cash from Investing Activities</t>
  </si>
  <si>
    <t>Financing Activities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</si>
  <si>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</si>
  <si>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</si>
  <si>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</si>
  <si>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</si>
  <si>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</si>
  <si>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</si>
  <si>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from Financing Activities</t>
  </si>
  <si>
    <t>Years</t>
  </si>
  <si>
    <t>LTM</t>
  </si>
  <si>
    <t>-</t>
  </si>
  <si>
    <t>Cash from Operating Activity -</t>
  </si>
  <si>
    <t>Cash from Investing Activity -</t>
  </si>
  <si>
    <t>Cash from Financing Activity -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</si>
  <si>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</si>
  <si>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</si>
  <si>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</si>
  <si>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</si>
  <si>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</si>
  <si>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</si>
  <si>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</si>
  <si>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</si>
  <si>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</si>
  <si>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 xml:space="preserve">Sales Expenses%Sales 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</si>
  <si>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</si>
  <si>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</si>
  <si>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</si>
  <si>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</si>
  <si>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</si>
  <si>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</si>
  <si>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</si>
  <si>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</si>
  <si>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</si>
  <si>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</t>
  </si>
  <si>
    <t>Fixed Asset Turnover</t>
  </si>
  <si>
    <t>Capital Turnover Ratio</t>
  </si>
  <si>
    <t>Debtor Days</t>
  </si>
  <si>
    <t>Payable Days</t>
  </si>
  <si>
    <t>Inventory Days</t>
  </si>
  <si>
    <t>Cash Conversion Cycle(in days)</t>
  </si>
  <si>
    <t>CFO/Sales</t>
  </si>
  <si>
    <t>CFO/Total Assets</t>
  </si>
  <si>
    <t>CFO/Total Debt</t>
  </si>
  <si>
    <t>Mean</t>
  </si>
  <si>
    <t>Median</t>
  </si>
  <si>
    <t>Trend</t>
  </si>
  <si>
    <t>Year Weight</t>
  </si>
  <si>
    <t>Year</t>
  </si>
  <si>
    <t xml:space="preserve"> Sales Growth</t>
  </si>
  <si>
    <t>Particulars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</si>
  <si>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</si>
  <si>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</si>
  <si>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</si>
  <si>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</si>
  <si>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</si>
  <si>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</si>
  <si>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</si>
  <si>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</si>
  <si>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</si>
  <si>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</si>
  <si>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</si>
  <si>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</si>
  <si>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</si>
  <si>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</si>
  <si>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</si>
  <si>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</si>
  <si>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</si>
  <si>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</si>
  <si>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</si>
  <si>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</si>
  <si>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</si>
  <si>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</si>
  <si>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</si>
  <si>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</si>
  <si>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</si>
  <si>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</si>
  <si>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</si>
  <si>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</si>
  <si>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</si>
  <si>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Calculation of ROIC</t>
  </si>
  <si>
    <t>Current Assets</t>
  </si>
  <si>
    <t>Total Current Liabilities</t>
  </si>
  <si>
    <t>Net Working Capital</t>
  </si>
  <si>
    <t xml:space="preserve">Non Current Assets </t>
  </si>
  <si>
    <t>Acccumulated Depreciation</t>
  </si>
  <si>
    <t>Net Non Current Assets</t>
  </si>
  <si>
    <t>Invested Capital</t>
  </si>
  <si>
    <t>Trade receivables</t>
  </si>
  <si>
    <t>Current Liabilities</t>
  </si>
  <si>
    <t>Other Liability items</t>
  </si>
  <si>
    <t>EBIT</t>
  </si>
  <si>
    <t>ROIC</t>
  </si>
  <si>
    <t>Net Capex</t>
  </si>
  <si>
    <t>Investment in group cos</t>
  </si>
  <si>
    <t>Proceeds from shares</t>
  </si>
  <si>
    <t>Change in Working Capital</t>
  </si>
  <si>
    <t>Marginal Tax Rate</t>
  </si>
  <si>
    <t>Reinvestment</t>
  </si>
  <si>
    <t>EBIT(1-T)</t>
  </si>
  <si>
    <t>Reinvestment Rate</t>
  </si>
  <si>
    <t>4 Year Average</t>
  </si>
  <si>
    <t>4 Year Median</t>
  </si>
  <si>
    <t>Calculation of Reinvestment Rate</t>
  </si>
  <si>
    <t>Calculation of Growth Rate</t>
  </si>
  <si>
    <t>Intrinsic Growth</t>
  </si>
  <si>
    <t>Calculation PV of FCFF</t>
  </si>
  <si>
    <t>Tax Rate</t>
  </si>
  <si>
    <t>Less: Reinvestment Rate</t>
  </si>
  <si>
    <t>Free Cash Flow To Firm(FCFF)</t>
  </si>
  <si>
    <t>Mid Year Convention</t>
  </si>
  <si>
    <t>Discounting Factor</t>
  </si>
  <si>
    <t>PV of FCFF</t>
  </si>
  <si>
    <t>Expected Growth</t>
  </si>
  <si>
    <t>Terminal Growth</t>
  </si>
  <si>
    <t>WACC</t>
  </si>
  <si>
    <t>Weighted Average Cost of Capital</t>
  </si>
  <si>
    <t>All figures are in INR unless stated otherwise</t>
  </si>
  <si>
    <t>Peer Comps</t>
  </si>
  <si>
    <t>Debt /</t>
  </si>
  <si>
    <t>Levered</t>
  </si>
  <si>
    <t>Unlevered</t>
  </si>
  <si>
    <t>Name of the Comp</t>
  </si>
  <si>
    <t>Country</t>
  </si>
  <si>
    <t>Total Debt</t>
  </si>
  <si>
    <t>Total Equity</t>
  </si>
  <si>
    <r>
      <t xml:space="preserve">Tax Rate </t>
    </r>
    <r>
      <rPr>
        <vertAlign val="superscript"/>
        <sz val="11"/>
        <color theme="1"/>
        <rFont val="Calibri"/>
        <family val="2"/>
        <scheme val="minor"/>
      </rPr>
      <t>1</t>
    </r>
  </si>
  <si>
    <t>Equity</t>
  </si>
  <si>
    <t>Capital</t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</si>
  <si>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2</t>
    </r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</si>
  <si>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3</t>
    </r>
  </si>
  <si>
    <t>Avenue Super.</t>
  </si>
  <si>
    <t>India</t>
  </si>
  <si>
    <t>Vishal Mega Mart</t>
  </si>
  <si>
    <t>V-Mart Retail</t>
  </si>
  <si>
    <t>Electronics Mart</t>
  </si>
  <si>
    <t>Shoppers Stop</t>
  </si>
  <si>
    <t xml:space="preserve">Average </t>
  </si>
  <si>
    <t>Cost of Debt</t>
  </si>
  <si>
    <t>Cost of Equity</t>
  </si>
  <si>
    <t>Pre-Tax Cost of Debt</t>
  </si>
  <si>
    <t>Risk Free Rate</t>
  </si>
  <si>
    <t>Equity Risk Premium</t>
  </si>
  <si>
    <t>After Tax Cost of Debt</t>
  </si>
  <si>
    <r>
      <t xml:space="preserve">Levered Beta </t>
    </r>
    <r>
      <rPr>
        <vertAlign val="superscript"/>
        <sz val="11"/>
        <color theme="1"/>
        <rFont val="Calibri"/>
        <family val="2"/>
        <scheme val="minor"/>
      </rPr>
      <t>4</t>
    </r>
  </si>
  <si>
    <t>Levered Beta</t>
  </si>
  <si>
    <t>Capital Structure</t>
  </si>
  <si>
    <t>Comps Median Unlevered Beta</t>
  </si>
  <si>
    <t>Current</t>
  </si>
  <si>
    <t>Target</t>
  </si>
  <si>
    <t>Target Debt / Equity</t>
  </si>
  <si>
    <t>Total Capitalization</t>
  </si>
  <si>
    <t>Debt / Equity</t>
  </si>
  <si>
    <t>Notes:</t>
  </si>
  <si>
    <t>Equity Weight</t>
  </si>
  <si>
    <t>1. Tax  Rate considered as Marginal Tax Rate for the Country</t>
  </si>
  <si>
    <t>2. Levered beta is based on 5 year monthly data</t>
  </si>
  <si>
    <t>3. Unlevered beta = Levered beta/(1+(1-Tax Rate)*Debt/Equity)</t>
  </si>
  <si>
    <t>Debt Weight</t>
  </si>
  <si>
    <t>4. Levered beta = Unlevered beta*(1+(1-Tax Rate)*Debt/Equity)</t>
  </si>
  <si>
    <t>Calculation of Terminal Value</t>
  </si>
  <si>
    <t>FCFF(n+1)</t>
  </si>
  <si>
    <t>Terminal Growth Rate</t>
  </si>
  <si>
    <t>Terminnal Value</t>
  </si>
  <si>
    <t>PV of Terminal Value</t>
  </si>
  <si>
    <t>Value of Operating Asset</t>
  </si>
  <si>
    <t>Add:Cash</t>
  </si>
  <si>
    <t>Less:Debt</t>
  </si>
  <si>
    <t>Calculation of Equity Value per Share</t>
  </si>
  <si>
    <t>Value of Equity</t>
  </si>
  <si>
    <t>No of Shares</t>
  </si>
  <si>
    <t>Equity Value per Share</t>
  </si>
  <si>
    <t>Share Price</t>
  </si>
  <si>
    <t>Discount/Premium</t>
  </si>
  <si>
    <t>Sensitivity Analysis</t>
  </si>
  <si>
    <t>S.No.</t>
  </si>
  <si>
    <t>Name</t>
  </si>
  <si>
    <t>CMP Rs.</t>
  </si>
  <si>
    <t>Debt Rs.Cr.</t>
  </si>
  <si>
    <t>No. Eq. Shares Cr.</t>
  </si>
  <si>
    <t>Cash End Rs.Cr.</t>
  </si>
  <si>
    <t>Net Debt</t>
  </si>
  <si>
    <t>EV</t>
  </si>
  <si>
    <t>Sales Rs.Cr.</t>
  </si>
  <si>
    <t>OPM %</t>
  </si>
  <si>
    <t>NP 12M Rs.Cr.</t>
  </si>
  <si>
    <t>Sun Pharma.Inds.</t>
  </si>
  <si>
    <t>Divi's Lab.</t>
  </si>
  <si>
    <t>Torrent Pharma.</t>
  </si>
  <si>
    <t>Lupin</t>
  </si>
  <si>
    <t>Dr Reddy's Labs</t>
  </si>
  <si>
    <t>Cipla</t>
  </si>
  <si>
    <t>Zydus Lifesci.</t>
  </si>
  <si>
    <t>Mankind Pharma</t>
  </si>
  <si>
    <t>Aurobindo Pharma</t>
  </si>
  <si>
    <t>Alkem Lab</t>
  </si>
  <si>
    <t>Amount in crores</t>
  </si>
  <si>
    <t>Comparable Company Valuation</t>
  </si>
  <si>
    <t>Market Data</t>
  </si>
  <si>
    <t>KLM</t>
  </si>
  <si>
    <t>Valuation</t>
  </si>
  <si>
    <t>Company</t>
  </si>
  <si>
    <t>Ticker</t>
  </si>
  <si>
    <t>Share
Price</t>
  </si>
  <si>
    <t>Shares 
Outstanding</t>
  </si>
  <si>
    <t>Equity
Value</t>
  </si>
  <si>
    <t>Enterprise
Value</t>
  </si>
  <si>
    <t>Revenue</t>
  </si>
  <si>
    <t>Net Income</t>
  </si>
  <si>
    <t>EV/Revenue</t>
  </si>
  <si>
    <t>EV/EBITDA</t>
  </si>
  <si>
    <t>P/E</t>
  </si>
  <si>
    <t>CIPLA</t>
  </si>
  <si>
    <t>SUNPHARMA</t>
  </si>
  <si>
    <t>DIVISLAB</t>
  </si>
  <si>
    <t>TORNTPHARM</t>
  </si>
  <si>
    <t>LUPIN</t>
  </si>
  <si>
    <t>DRREDDYS</t>
  </si>
  <si>
    <t>ZYDUSLIFE</t>
  </si>
  <si>
    <t>MANKIND</t>
  </si>
  <si>
    <t>AUROPHARMA</t>
  </si>
  <si>
    <t>ALKEM</t>
  </si>
  <si>
    <t xml:space="preserve">High </t>
  </si>
  <si>
    <t>75th Percentile</t>
  </si>
  <si>
    <t>25th Percentile</t>
  </si>
  <si>
    <t>Low</t>
  </si>
  <si>
    <t>Cipla Comparable Valuation</t>
  </si>
  <si>
    <t>Implied Enterprise Value</t>
  </si>
  <si>
    <t>Implied Market Value</t>
  </si>
  <si>
    <t>Shares Outstanding</t>
  </si>
  <si>
    <t>Implied Value per Share</t>
  </si>
  <si>
    <t xml:space="preserve">Comps </t>
  </si>
  <si>
    <t>DCF Bear</t>
  </si>
  <si>
    <t>DCF Bull</t>
  </si>
  <si>
    <t>52W H/L</t>
  </si>
  <si>
    <t xml:space="preserve">Open Low </t>
  </si>
  <si>
    <t xml:space="preserve">Low </t>
  </si>
  <si>
    <t>Open High</t>
  </si>
  <si>
    <t>High</t>
  </si>
  <si>
    <t>Foootbal Field Analysis - Data</t>
  </si>
  <si>
    <t>DCF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</si>
</sst>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\ \(&quot;₹&quot;\ #,##0.0\);\-"/>
    <numFmt numFmtId="167" formatCode="&quot;₹&quot;\ #,##0.00"/>
    <numFmt numFmtId="168" formatCode="0.00&quot;x&quot;"/>
    <numFmt numFmtId="169" formatCode="0\ "/>
    <numFmt numFmtId="170" formatCode="yyyy"/>
    <numFmt numFmtId="171" formatCode="yyyy&quot;A&quot;"/>
    <numFmt numFmtId="172" formatCode="yyyy&quot;E&quot;"/>
    <numFmt numFmtId="173" formatCode="#,##0.0"/>
    <numFmt numFmtId="174" formatCode="#,##0.0;\(#,##0.0\);\-"/>
    <numFmt numFmtId="175" formatCode="0.000%"/>
    <numFmt numFmtId="176" formatCode="mmm/yy&quot;A&quot;"/>
    <numFmt numFmtId="177" formatCode="mmm/yy&quot;F&quot;"/>
    <numFmt numFmtId="178" formatCode="0.000"/>
    <numFmt numFmtId="179" formatCode="0.0\x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0000CC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rgb="FF22222F"/>
      <name val="Arial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i/>
      <sz val="10"/>
      <color theme="1"/>
      <name val="Calibri"/>
      <family val="2"/>
    </font>
    <font>
      <b/>
      <sz val="12"/>
      <color rgb="FF002060"/>
      <name val="Calibri"/>
      <family val="2"/>
    </font>
    <font>
      <b/>
      <sz val="11"/>
      <color rgb="FF00206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  <border>
      <left/>
      <right/>
      <top style="hair">
        <color theme="8" tint="-0.499984740745262"/>
      </top>
      <bottom style="hair">
        <color theme="8" tint="-0.499984740745262"/>
      </bottom>
      <diagonal/>
    </border>
    <border>
      <left/>
      <right/>
      <top style="thin">
        <color theme="8" tint="-0.499984740745262"/>
      </top>
      <bottom style="thin">
        <color theme="8" tint="-0.499984740745262"/>
      </bottom>
      <diagonal/>
    </border>
    <border>
      <left/>
      <right/>
      <top style="thin">
        <color theme="8" tint="-0.499984740745262"/>
      </top>
      <bottom/>
      <diagonal/>
    </border>
    <border>
      <left/>
      <right/>
      <top style="hair">
        <color theme="8" tint="-0.499984740745262"/>
      </top>
      <bottom/>
      <diagonal/>
    </border>
    <border>
      <left/>
      <right/>
      <top style="thin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theme="8" tint="-0.499984740745262"/>
      </top>
      <bottom style="medium">
        <color theme="8" tint="-0.499984740745262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rgb="FF002060"/>
      </top>
      <bottom style="thin">
        <color rgb="FF002060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190">
    <xf numFmtId="0" fontId="0" fillId="0" borderId="0" xfId="0"/>
    <xf numFmtId="43" fontId="1" fillId="0" borderId="0" xfId="1" applyFont="1" applyBorder="1"/>
    <xf numFmtId="43" fontId="0" fillId="0" borderId="0" xfId="1" applyFont="1" applyBorder="1"/>
    <xf numFmtId="43" fontId="3" fillId="0" borderId="0" xfId="1" applyFont="1" applyBorder="1"/>
    <xf numFmtId="165" fontId="2" fillId="3" borderId="0" xfId="0" applyNumberFormat="1" applyFont="1" applyFill="1" applyBorder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164" fontId="0" fillId="0" borderId="0" xfId="1" applyNumberFormat="1" applyFont="1" applyBorder="1"/>
    <xf numFmtId="0" fontId="5" fillId="4" borderId="0" xfId="0" applyFont="1" applyFill="1"/>
    <xf numFmtId="17" fontId="5" fillId="4" borderId="0" xfId="0" applyNumberFormat="1" applyFont="1" applyFill="1"/>
    <xf numFmtId="0" fontId="1" fillId="0" borderId="0" xfId="0" applyFont="1"/>
    <xf numFmtId="0" fontId="1" fillId="5" borderId="0" xfId="0" applyFont="1" applyFill="1"/>
    <xf numFmtId="0" fontId="0" fillId="5" borderId="0" xfId="0" applyFill="1"/>
    <xf numFmtId="0" fontId="0" fillId="0" borderId="0" xfId="0" applyFont="1"/>
    <xf numFmtId="17" fontId="5" fillId="4" borderId="0" xfId="0" applyNumberFormat="1" applyFont="1" applyFill="1" applyAlignment="1">
      <alignment horizontal="right"/>
    </xf>
    <xf numFmtId="166" fontId="0" fillId="0" borderId="0" xfId="0" applyNumberFormat="1" applyFont="1"/>
    <xf numFmtId="10" fontId="0" fillId="0" borderId="0" xfId="4" applyNumberFormat="1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10" fontId="8" fillId="0" borderId="0" xfId="4" applyNumberFormat="1" applyFont="1"/>
    <xf numFmtId="166" fontId="0" fillId="0" borderId="0" xfId="0" applyNumberFormat="1"/>
    <xf numFmtId="167" fontId="0" fillId="0" borderId="0" xfId="0" applyNumberFormat="1"/>
    <xf numFmtId="0" fontId="0" fillId="0" borderId="0" xfId="0" applyNumberFormat="1"/>
    <xf numFmtId="167" fontId="0" fillId="0" borderId="0" xfId="0" applyNumberFormat="1" applyFont="1"/>
    <xf numFmtId="17" fontId="0" fillId="0" borderId="0" xfId="0" applyNumberFormat="1"/>
    <xf numFmtId="3" fontId="0" fillId="0" borderId="0" xfId="0" applyNumberFormat="1"/>
    <xf numFmtId="166" fontId="1" fillId="0" borderId="0" xfId="0" applyNumberFormat="1" applyFont="1"/>
    <xf numFmtId="0" fontId="1" fillId="0" borderId="1" xfId="0" applyFont="1" applyBorder="1"/>
    <xf numFmtId="167" fontId="1" fillId="0" borderId="1" xfId="0" applyNumberFormat="1" applyFont="1" applyBorder="1"/>
    <xf numFmtId="167" fontId="0" fillId="0" borderId="1" xfId="0" applyNumberFormat="1" applyBorder="1"/>
    <xf numFmtId="0" fontId="0" fillId="0" borderId="2" xfId="0" applyBorder="1"/>
    <xf numFmtId="10" fontId="0" fillId="0" borderId="2" xfId="4" applyNumberFormat="1" applyFont="1" applyBorder="1"/>
    <xf numFmtId="0" fontId="0" fillId="0" borderId="0" xfId="0" applyBorder="1"/>
    <xf numFmtId="10" fontId="0" fillId="0" borderId="0" xfId="4" applyNumberFormat="1" applyFont="1" applyBorder="1"/>
    <xf numFmtId="0" fontId="0" fillId="0" borderId="3" xfId="0" applyBorder="1"/>
    <xf numFmtId="10" fontId="0" fillId="0" borderId="3" xfId="4" applyNumberFormat="1" applyFont="1" applyBorder="1"/>
    <xf numFmtId="10" fontId="0" fillId="0" borderId="3" xfId="0" applyNumberFormat="1" applyBorder="1"/>
    <xf numFmtId="168" fontId="0" fillId="0" borderId="3" xfId="4" applyNumberFormat="1" applyFont="1" applyBorder="1"/>
    <xf numFmtId="168" fontId="0" fillId="0" borderId="2" xfId="4" applyNumberFormat="1" applyFont="1" applyBorder="1"/>
    <xf numFmtId="168" fontId="0" fillId="0" borderId="0" xfId="4" applyNumberFormat="1" applyFont="1" applyBorder="1"/>
    <xf numFmtId="169" fontId="0" fillId="0" borderId="2" xfId="0" applyNumberFormat="1" applyBorder="1"/>
    <xf numFmtId="169" fontId="0" fillId="0" borderId="0" xfId="0" applyNumberFormat="1" applyBorder="1"/>
    <xf numFmtId="169" fontId="0" fillId="0" borderId="3" xfId="0" applyNumberFormat="1" applyBorder="1"/>
    <xf numFmtId="17" fontId="5" fillId="4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2" fillId="4" borderId="0" xfId="0" applyFont="1" applyFill="1"/>
    <xf numFmtId="17" fontId="2" fillId="4" borderId="0" xfId="0" applyNumberFormat="1" applyFont="1" applyFill="1" applyAlignment="1">
      <alignment horizontal="center"/>
    </xf>
    <xf numFmtId="170" fontId="0" fillId="0" borderId="0" xfId="0" applyNumberFormat="1" applyAlignment="1">
      <alignment horizontal="right"/>
    </xf>
    <xf numFmtId="171" fontId="0" fillId="0" borderId="0" xfId="0" applyNumberFormat="1" applyAlignment="1">
      <alignment horizontal="right"/>
    </xf>
    <xf numFmtId="0" fontId="0" fillId="6" borderId="0" xfId="0" applyFill="1" applyAlignment="1">
      <alignment horizontal="left"/>
    </xf>
    <xf numFmtId="172" fontId="0" fillId="6" borderId="0" xfId="0" applyNumberFormat="1" applyFill="1" applyAlignment="1">
      <alignment horizontal="right"/>
    </xf>
    <xf numFmtId="10" fontId="0" fillId="6" borderId="0" xfId="4" applyNumberFormat="1" applyFont="1" applyFill="1"/>
    <xf numFmtId="173" fontId="0" fillId="0" borderId="0" xfId="0" applyNumberFormat="1" applyFont="1" applyAlignment="1"/>
    <xf numFmtId="173" fontId="0" fillId="6" borderId="0" xfId="0" applyNumberFormat="1" applyFill="1" applyAlignment="1"/>
    <xf numFmtId="0" fontId="1" fillId="0" borderId="0" xfId="0" applyFont="1" applyAlignment="1"/>
    <xf numFmtId="0" fontId="2" fillId="7" borderId="0" xfId="0" applyFont="1" applyFill="1"/>
    <xf numFmtId="17" fontId="2" fillId="7" borderId="0" xfId="0" applyNumberFormat="1" applyFont="1" applyFill="1"/>
    <xf numFmtId="174" fontId="0" fillId="0" borderId="4" xfId="0" applyNumberFormat="1" applyBorder="1"/>
    <xf numFmtId="174" fontId="0" fillId="0" borderId="0" xfId="0" applyNumberFormat="1"/>
    <xf numFmtId="0" fontId="1" fillId="0" borderId="5" xfId="0" applyFont="1" applyBorder="1"/>
    <xf numFmtId="3" fontId="1" fillId="0" borderId="5" xfId="0" applyNumberFormat="1" applyFont="1" applyBorder="1"/>
    <xf numFmtId="174" fontId="1" fillId="0" borderId="0" xfId="0" applyNumberFormat="1" applyFont="1"/>
    <xf numFmtId="0" fontId="1" fillId="0" borderId="6" xfId="0" applyFont="1" applyBorder="1"/>
    <xf numFmtId="174" fontId="0" fillId="0" borderId="6" xfId="0" applyNumberFormat="1" applyBorder="1"/>
    <xf numFmtId="0" fontId="1" fillId="0" borderId="0" xfId="0" applyFont="1" applyBorder="1"/>
    <xf numFmtId="174" fontId="0" fillId="0" borderId="0" xfId="0" applyNumberFormat="1" applyBorder="1"/>
    <xf numFmtId="174" fontId="0" fillId="0" borderId="7" xfId="0" applyNumberFormat="1" applyBorder="1"/>
    <xf numFmtId="174" fontId="1" fillId="0" borderId="5" xfId="0" applyNumberFormat="1" applyFont="1" applyBorder="1"/>
    <xf numFmtId="0" fontId="0" fillId="0" borderId="1" xfId="0" applyBorder="1"/>
    <xf numFmtId="0" fontId="1" fillId="0" borderId="8" xfId="0" applyFont="1" applyBorder="1"/>
    <xf numFmtId="0" fontId="0" fillId="0" borderId="8" xfId="0" applyBorder="1"/>
    <xf numFmtId="0" fontId="0" fillId="0" borderId="1" xfId="0" applyFont="1" applyBorder="1"/>
    <xf numFmtId="0" fontId="0" fillId="0" borderId="2" xfId="0" applyFont="1" applyBorder="1"/>
    <xf numFmtId="0" fontId="1" fillId="0" borderId="9" xfId="0" applyFont="1" applyBorder="1"/>
    <xf numFmtId="0" fontId="1" fillId="0" borderId="0" xfId="0" applyFont="1" applyFill="1" applyBorder="1"/>
    <xf numFmtId="10" fontId="1" fillId="0" borderId="9" xfId="4" applyNumberFormat="1" applyFont="1" applyBorder="1"/>
    <xf numFmtId="174" fontId="0" fillId="0" borderId="1" xfId="0" applyNumberFormat="1" applyBorder="1"/>
    <xf numFmtId="174" fontId="1" fillId="0" borderId="8" xfId="0" applyNumberFormat="1" applyFont="1" applyBorder="1"/>
    <xf numFmtId="174" fontId="1" fillId="0" borderId="9" xfId="0" applyNumberFormat="1" applyFont="1" applyBorder="1"/>
    <xf numFmtId="10" fontId="9" fillId="0" borderId="1" xfId="0" applyNumberFormat="1" applyFont="1" applyBorder="1"/>
    <xf numFmtId="2" fontId="0" fillId="0" borderId="1" xfId="0" applyNumberFormat="1" applyBorder="1"/>
    <xf numFmtId="0" fontId="0" fillId="8" borderId="0" xfId="0" applyFill="1"/>
    <xf numFmtId="0" fontId="1" fillId="6" borderId="0" xfId="0" applyFont="1" applyFill="1"/>
    <xf numFmtId="10" fontId="1" fillId="6" borderId="0" xfId="0" applyNumberFormat="1" applyFont="1" applyFill="1"/>
    <xf numFmtId="10" fontId="0" fillId="0" borderId="1" xfId="0" applyNumberFormat="1" applyBorder="1"/>
    <xf numFmtId="175" fontId="1" fillId="0" borderId="9" xfId="0" applyNumberFormat="1" applyFont="1" applyBorder="1"/>
    <xf numFmtId="0" fontId="1" fillId="0" borderId="1" xfId="0" applyFont="1" applyFill="1" applyBorder="1"/>
    <xf numFmtId="174" fontId="1" fillId="0" borderId="1" xfId="0" applyNumberFormat="1" applyFont="1" applyBorder="1"/>
    <xf numFmtId="0" fontId="0" fillId="4" borderId="0" xfId="0" applyFill="1"/>
    <xf numFmtId="176" fontId="5" fillId="4" borderId="0" xfId="0" applyNumberFormat="1" applyFont="1" applyFill="1"/>
    <xf numFmtId="177" fontId="5" fillId="4" borderId="0" xfId="0" applyNumberFormat="1" applyFont="1" applyFill="1"/>
    <xf numFmtId="10" fontId="0" fillId="0" borderId="0" xfId="0" applyNumberFormat="1"/>
    <xf numFmtId="0" fontId="0" fillId="0" borderId="9" xfId="0" applyBorder="1"/>
    <xf numFmtId="0" fontId="10" fillId="9" borderId="0" xfId="0" applyFont="1" applyFill="1"/>
    <xf numFmtId="0" fontId="1" fillId="9" borderId="0" xfId="0" applyFont="1" applyFill="1"/>
    <xf numFmtId="0" fontId="11" fillId="0" borderId="0" xfId="0" applyFont="1"/>
    <xf numFmtId="0" fontId="0" fillId="0" borderId="11" xfId="0" applyBorder="1"/>
    <xf numFmtId="0" fontId="0" fillId="0" borderId="11" xfId="0" applyBorder="1" applyAlignment="1"/>
    <xf numFmtId="0" fontId="0" fillId="0" borderId="11" xfId="0" applyFill="1" applyBorder="1" applyAlignment="1"/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2" xfId="0" applyBorder="1" applyAlignment="1">
      <alignment vertical="center"/>
    </xf>
    <xf numFmtId="0" fontId="13" fillId="0" borderId="0" xfId="0" applyFont="1"/>
    <xf numFmtId="173" fontId="13" fillId="0" borderId="0" xfId="0" applyNumberFormat="1" applyFont="1" applyAlignment="1">
      <alignment horizontal="center"/>
    </xf>
    <xf numFmtId="10" fontId="13" fillId="0" borderId="0" xfId="4" applyNumberFormat="1" applyFont="1"/>
    <xf numFmtId="10" fontId="0" fillId="8" borderId="0" xfId="4" applyNumberFormat="1" applyFont="1" applyFill="1"/>
    <xf numFmtId="2" fontId="13" fillId="0" borderId="0" xfId="0" applyNumberFormat="1" applyFont="1"/>
    <xf numFmtId="2" fontId="0" fillId="8" borderId="0" xfId="0" applyNumberFormat="1" applyFill="1"/>
    <xf numFmtId="0" fontId="1" fillId="0" borderId="11" xfId="0" applyFont="1" applyBorder="1"/>
    <xf numFmtId="10" fontId="0" fillId="0" borderId="11" xfId="0" applyNumberFormat="1" applyBorder="1"/>
    <xf numFmtId="10" fontId="0" fillId="0" borderId="11" xfId="4" applyNumberFormat="1" applyFont="1" applyBorder="1"/>
    <xf numFmtId="2" fontId="0" fillId="0" borderId="11" xfId="0" applyNumberFormat="1" applyBorder="1"/>
    <xf numFmtId="0" fontId="1" fillId="0" borderId="12" xfId="0" applyFont="1" applyBorder="1"/>
    <xf numFmtId="10" fontId="0" fillId="0" borderId="12" xfId="0" applyNumberFormat="1" applyBorder="1"/>
    <xf numFmtId="10" fontId="0" fillId="0" borderId="12" xfId="4" applyNumberFormat="1" applyFont="1" applyBorder="1"/>
    <xf numFmtId="2" fontId="0" fillId="0" borderId="12" xfId="0" applyNumberFormat="1" applyBorder="1"/>
    <xf numFmtId="10" fontId="9" fillId="0" borderId="0" xfId="4" applyNumberFormat="1" applyFont="1"/>
    <xf numFmtId="10" fontId="13" fillId="0" borderId="0" xfId="0" applyNumberFormat="1" applyFont="1"/>
    <xf numFmtId="10" fontId="6" fillId="0" borderId="0" xfId="0" applyNumberFormat="1" applyFont="1"/>
    <xf numFmtId="10" fontId="6" fillId="0" borderId="0" xfId="4" applyNumberFormat="1" applyFont="1"/>
    <xf numFmtId="0" fontId="0" fillId="0" borderId="13" xfId="0" applyBorder="1"/>
    <xf numFmtId="10" fontId="0" fillId="8" borderId="13" xfId="4" applyNumberFormat="1" applyFont="1" applyFill="1" applyBorder="1"/>
    <xf numFmtId="2" fontId="0" fillId="0" borderId="0" xfId="0" applyNumberFormat="1"/>
    <xf numFmtId="10" fontId="0" fillId="0" borderId="13" xfId="0" applyNumberFormat="1" applyBorder="1"/>
    <xf numFmtId="0" fontId="1" fillId="0" borderId="12" xfId="0" applyFont="1" applyBorder="1" applyAlignment="1">
      <alignment horizontal="right"/>
    </xf>
    <xf numFmtId="173" fontId="13" fillId="0" borderId="0" xfId="0" applyNumberFormat="1" applyFont="1"/>
    <xf numFmtId="9" fontId="0" fillId="0" borderId="0" xfId="0" applyNumberFormat="1"/>
    <xf numFmtId="0" fontId="1" fillId="0" borderId="13" xfId="0" applyFont="1" applyBorder="1"/>
    <xf numFmtId="2" fontId="0" fillId="0" borderId="13" xfId="0" applyNumberFormat="1" applyBorder="1"/>
    <xf numFmtId="173" fontId="0" fillId="0" borderId="13" xfId="0" applyNumberFormat="1" applyBorder="1"/>
    <xf numFmtId="10" fontId="0" fillId="0" borderId="13" xfId="4" applyNumberFormat="1" applyFont="1" applyBorder="1"/>
    <xf numFmtId="0" fontId="0" fillId="0" borderId="0" xfId="0" applyFont="1" applyFill="1" applyBorder="1"/>
    <xf numFmtId="0" fontId="1" fillId="0" borderId="0" xfId="0" applyFont="1" applyBorder="1" applyAlignment="1"/>
    <xf numFmtId="10" fontId="0" fillId="0" borderId="0" xfId="0" applyNumberFormat="1" applyFont="1" applyBorder="1" applyAlignment="1"/>
    <xf numFmtId="0" fontId="14" fillId="0" borderId="0" xfId="0" applyFont="1"/>
    <xf numFmtId="10" fontId="0" fillId="0" borderId="0" xfId="0" applyNumberFormat="1" applyBorder="1"/>
    <xf numFmtId="0" fontId="14" fillId="0" borderId="0" xfId="0" applyFont="1" applyAlignment="1">
      <alignment vertical="top"/>
    </xf>
    <xf numFmtId="0" fontId="0" fillId="0" borderId="0" xfId="0" applyFont="1" applyBorder="1"/>
    <xf numFmtId="10" fontId="3" fillId="0" borderId="0" xfId="4" applyNumberFormat="1" applyFont="1" applyBorder="1"/>
    <xf numFmtId="0" fontId="1" fillId="8" borderId="0" xfId="0" applyFont="1" applyFill="1"/>
    <xf numFmtId="10" fontId="1" fillId="8" borderId="0" xfId="0" applyNumberFormat="1" applyFont="1" applyFill="1"/>
    <xf numFmtId="0" fontId="0" fillId="6" borderId="0" xfId="0" applyFill="1"/>
    <xf numFmtId="9" fontId="0" fillId="6" borderId="0" xfId="0" applyNumberFormat="1" applyFill="1"/>
    <xf numFmtId="10" fontId="0" fillId="6" borderId="0" xfId="0" applyNumberFormat="1" applyFill="1"/>
    <xf numFmtId="43" fontId="0" fillId="8" borderId="1" xfId="0" applyNumberFormat="1" applyFill="1" applyBorder="1"/>
    <xf numFmtId="10" fontId="9" fillId="8" borderId="1" xfId="0" applyNumberFormat="1" applyFont="1" applyFill="1" applyBorder="1"/>
    <xf numFmtId="0" fontId="0" fillId="8" borderId="1" xfId="0" applyFill="1" applyBorder="1"/>
    <xf numFmtId="178" fontId="0" fillId="0" borderId="1" xfId="0" applyNumberFormat="1" applyBorder="1"/>
    <xf numFmtId="0" fontId="1" fillId="0" borderId="10" xfId="0" applyFont="1" applyBorder="1"/>
    <xf numFmtId="0" fontId="1" fillId="8" borderId="9" xfId="0" applyFont="1" applyFill="1" applyBorder="1"/>
    <xf numFmtId="2" fontId="1" fillId="0" borderId="0" xfId="0" applyNumberFormat="1" applyFont="1"/>
    <xf numFmtId="2" fontId="0" fillId="0" borderId="0" xfId="0" applyNumberFormat="1" applyFont="1"/>
    <xf numFmtId="43" fontId="0" fillId="0" borderId="0" xfId="0" applyNumberFormat="1" applyFont="1" applyBorder="1"/>
    <xf numFmtId="43" fontId="0" fillId="0" borderId="9" xfId="0" applyNumberFormat="1" applyBorder="1"/>
    <xf numFmtId="3" fontId="15" fillId="0" borderId="0" xfId="0" applyNumberFormat="1" applyFont="1"/>
    <xf numFmtId="9" fontId="0" fillId="0" borderId="0" xfId="4" applyFont="1"/>
    <xf numFmtId="2" fontId="5" fillId="0" borderId="0" xfId="0" applyNumberFormat="1" applyFont="1"/>
    <xf numFmtId="10" fontId="1" fillId="0" borderId="0" xfId="4" applyNumberFormat="1" applyFont="1"/>
    <xf numFmtId="0" fontId="2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19" fillId="0" borderId="0" xfId="0" applyFont="1"/>
    <xf numFmtId="0" fontId="20" fillId="10" borderId="0" xfId="0" applyFont="1" applyFill="1"/>
    <xf numFmtId="0" fontId="21" fillId="10" borderId="0" xfId="0" applyFont="1" applyFill="1"/>
    <xf numFmtId="0" fontId="18" fillId="4" borderId="0" xfId="0" applyFont="1" applyFill="1"/>
    <xf numFmtId="0" fontId="16" fillId="4" borderId="14" xfId="0" applyFont="1" applyFill="1" applyBorder="1" applyAlignment="1">
      <alignment horizontal="center"/>
    </xf>
    <xf numFmtId="0" fontId="16" fillId="4" borderId="0" xfId="0" applyFont="1" applyFill="1"/>
    <xf numFmtId="0" fontId="16" fillId="4" borderId="0" xfId="0" applyFont="1" applyFill="1" applyAlignment="1">
      <alignment wrapText="1"/>
    </xf>
    <xf numFmtId="0" fontId="0" fillId="6" borderId="1" xfId="0" applyFill="1" applyBorder="1" applyAlignment="1">
      <alignment horizontal="left"/>
    </xf>
    <xf numFmtId="3" fontId="0" fillId="6" borderId="1" xfId="0" applyNumberFormat="1" applyFill="1" applyBorder="1" applyAlignment="1">
      <alignment horizontal="right"/>
    </xf>
    <xf numFmtId="2" fontId="0" fillId="6" borderId="1" xfId="0" applyNumberFormat="1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179" fontId="0" fillId="6" borderId="1" xfId="0" applyNumberFormat="1" applyFill="1" applyBorder="1" applyAlignment="1">
      <alignment horizontal="righ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179" fontId="0" fillId="0" borderId="1" xfId="0" applyNumberFormat="1" applyBorder="1" applyAlignment="1">
      <alignment horizontal="right"/>
    </xf>
    <xf numFmtId="0" fontId="0" fillId="6" borderId="1" xfId="0" applyFill="1" applyBorder="1"/>
    <xf numFmtId="179" fontId="0" fillId="6" borderId="1" xfId="0" applyNumberFormat="1" applyFill="1" applyBorder="1"/>
    <xf numFmtId="0" fontId="17" fillId="6" borderId="1" xfId="0" applyFont="1" applyFill="1" applyBorder="1" applyAlignment="1">
      <alignment horizontal="left"/>
    </xf>
    <xf numFmtId="0" fontId="17" fillId="6" borderId="1" xfId="0" applyFont="1" applyFill="1" applyBorder="1"/>
    <xf numFmtId="179" fontId="17" fillId="6" borderId="1" xfId="0" applyNumberFormat="1" applyFont="1" applyFill="1" applyBorder="1"/>
    <xf numFmtId="3" fontId="0" fillId="0" borderId="1" xfId="0" applyNumberFormat="1" applyBorder="1"/>
    <xf numFmtId="0" fontId="17" fillId="0" borderId="15" xfId="0" applyFont="1" applyBorder="1"/>
    <xf numFmtId="173" fontId="17" fillId="0" borderId="15" xfId="0" applyNumberFormat="1" applyFont="1" applyBorder="1"/>
    <xf numFmtId="0" fontId="0" fillId="0" borderId="0" xfId="0" applyAlignment="1">
      <alignment horizontal="center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002060"/>
                </a:solidFill>
              </a:rPr>
              <a:t>Football</a:t>
            </a:r>
            <a:r>
              <a:rPr lang="en-IN" b="1" baseline="0">
                <a:solidFill>
                  <a:srgbClr val="002060"/>
                </a:solidFill>
              </a:rPr>
              <a:t> Field Analysis - Valuation Summary (Rs)</a:t>
            </a:r>
          </a:p>
          <a:p>
            <a:pPr>
              <a:defRPr b="1">
                <a:solidFill>
                  <a:srgbClr val="002060"/>
                </a:solidFill>
              </a:defRPr>
            </a:pPr>
            <a:endParaRPr lang="en-IN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17221051019215344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863517060367448E-2"/>
          <c:y val="0.22305555555555556"/>
          <c:w val="0.8733354879147569"/>
          <c:h val="0.64176727909011377"/>
        </c:manualLayout>
      </c:layout>
      <c:stockChart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 Analysis'!$L$4:$L$8</c:f>
              <c:strCache>
                <c:ptCount val="5"/>
                <c:pt idx="0">
                  <c:v>Comps 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Analysis'!$N$4:$N$8</c:f>
              <c:numCache>
                <c:formatCode>0.00</c:formatCode>
                <c:ptCount val="5"/>
                <c:pt idx="0" formatCode="General">
                  <c:v>162.5</c:v>
                </c:pt>
                <c:pt idx="1">
                  <c:v>216.54057404841993</c:v>
                </c:pt>
                <c:pt idx="2" formatCode="General">
                  <c:v>251.06</c:v>
                </c:pt>
                <c:pt idx="3">
                  <c:v>289.97788847826098</c:v>
                </c:pt>
                <c:pt idx="4" formatCode="General">
                  <c:v>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1-413F-851D-D24AE56E4E8A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Analysis'!$L$4:$L$8</c:f>
              <c:strCache>
                <c:ptCount val="5"/>
                <c:pt idx="0">
                  <c:v>Comps 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Analysis'!$O$4:$O$8</c:f>
              <c:numCache>
                <c:formatCode>0.00</c:formatCode>
                <c:ptCount val="5"/>
                <c:pt idx="0" formatCode="General">
                  <c:v>162.5</c:v>
                </c:pt>
                <c:pt idx="1">
                  <c:v>216.54057404841993</c:v>
                </c:pt>
                <c:pt idx="2" formatCode="General">
                  <c:v>251.06</c:v>
                </c:pt>
                <c:pt idx="3">
                  <c:v>289.97788847826098</c:v>
                </c:pt>
                <c:pt idx="4" formatCode="General">
                  <c:v>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1-413F-851D-D24AE56E4E8A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 Analysis'!$L$4:$L$8</c:f>
              <c:strCache>
                <c:ptCount val="5"/>
                <c:pt idx="0">
                  <c:v>Comps 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Analysis'!$P$4:$P$8</c:f>
              <c:numCache>
                <c:formatCode>0.00</c:formatCode>
                <c:ptCount val="5"/>
                <c:pt idx="0" formatCode="General">
                  <c:v>184.7</c:v>
                </c:pt>
                <c:pt idx="1">
                  <c:v>257.33908206499837</c:v>
                </c:pt>
                <c:pt idx="2" formatCode="General">
                  <c:v>325.08</c:v>
                </c:pt>
                <c:pt idx="3">
                  <c:v>420.53311413131229</c:v>
                </c:pt>
                <c:pt idx="4" formatCode="General">
                  <c:v>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1-413F-851D-D24AE56E4E8A}"/>
            </c:ext>
          </c:extLst>
        </c:ser>
        <c:ser>
          <c:idx val="3"/>
          <c:order val="3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Analysis'!$L$4:$L$8</c:f>
              <c:strCache>
                <c:ptCount val="5"/>
                <c:pt idx="0">
                  <c:v>Comps 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Analysis'!$Q$4:$Q$8</c:f>
              <c:numCache>
                <c:formatCode>0.00</c:formatCode>
                <c:ptCount val="5"/>
                <c:pt idx="0" formatCode="General">
                  <c:v>184.7</c:v>
                </c:pt>
                <c:pt idx="1">
                  <c:v>257.33908206499837</c:v>
                </c:pt>
                <c:pt idx="2" formatCode="General">
                  <c:v>325.08</c:v>
                </c:pt>
                <c:pt idx="3">
                  <c:v>420.53311413131229</c:v>
                </c:pt>
                <c:pt idx="4" formatCode="General">
                  <c:v>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81-413F-851D-D24AE56E4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rgbClr val="002060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509453056"/>
        <c:axId val="509446400"/>
      </c:stockChart>
      <c:catAx>
        <c:axId val="50945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446400"/>
        <c:crosses val="autoZero"/>
        <c:auto val="1"/>
        <c:lblAlgn val="ctr"/>
        <c:lblOffset val="100"/>
        <c:noMultiLvlLbl val="0"/>
      </c:catAx>
      <c:valAx>
        <c:axId val="50944640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45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1</xdr:row>
      <xdr:rowOff>128586</xdr:rowOff>
    </xdr:from>
    <xdr:to>
      <xdr:col>10</xdr:col>
      <xdr:colOff>57149</xdr:colOff>
      <xdr:row>16</xdr:row>
      <xdr:rowOff>171449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361950</xdr:colOff>
      <xdr:row>10</xdr:row>
      <xdr:rowOff>95250</xdr:rowOff>
    </xdr:from>
    <xdr:to>
      <xdr:col>10</xdr:col>
      <xdr:colOff>85725</xdr:colOff>
      <xdr:row>10</xdr:row>
      <xdr:rowOff>95251</xdr:rowOff>
    </xdr:to>
    <xdr:cxnSp macro="">
      <xdr:nvCxnSpPr>
        <xdr:cNvPr id="6" name="Straight Connector 5"/>
        <xdr:cNvCxnSpPr/>
      </xdr:nvCxnSpPr>
      <xdr:spPr>
        <a:xfrm flipV="1">
          <a:off x="485775" y="2000250"/>
          <a:ext cx="5210175" cy="1"/>
        </a:xfrm>
        <a:prstGeom prst="line">
          <a:avLst/>
        </a:prstGeom>
        <a:ln w="12700" cmpd="dbl">
          <a:solidFill>
            <a:schemeClr val="accent3">
              <a:lumMod val="60000"/>
              <a:lumOff val="40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DCF%20Modelling/DCF%20Modelling-WACC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Maruti%20Suzuk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SEssion15/Book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F&gt;"/>
      <sheetName val="Data&gt;"/>
      <sheetName val=" Beta Regression"/>
      <sheetName val="WACC"/>
      <sheetName val="Rm"/>
      <sheetName val="Beta - Comps"/>
      <sheetName val="Data Room&gt;"/>
      <sheetName val="Raw FS"/>
      <sheetName val="Intrisic Growth"/>
      <sheetName val="DCF"/>
    </sheetNames>
    <sheetDataSet>
      <sheetData sheetId="0" refreshError="1"/>
      <sheetData sheetId="1" refreshError="1"/>
      <sheetData sheetId="2">
        <row r="7">
          <cell r="N7">
            <v>1.2421196304007405</v>
          </cell>
        </row>
      </sheetData>
      <sheetData sheetId="3">
        <row r="21">
          <cell r="K21">
            <v>7.1099999999999997E-2</v>
          </cell>
        </row>
      </sheetData>
      <sheetData sheetId="4">
        <row r="8">
          <cell r="F8">
            <v>0.1514923076923077</v>
          </cell>
        </row>
      </sheetData>
      <sheetData sheetId="5">
        <row r="3">
          <cell r="E3">
            <v>287487.46000000002</v>
          </cell>
          <cell r="F3">
            <v>1609.19</v>
          </cell>
        </row>
        <row r="4">
          <cell r="E4">
            <v>53854.19</v>
          </cell>
          <cell r="F4">
            <v>1870.76</v>
          </cell>
        </row>
        <row r="5">
          <cell r="E5">
            <v>4998.0600000000004</v>
          </cell>
          <cell r="F5">
            <v>801.24</v>
          </cell>
        </row>
        <row r="6">
          <cell r="E6">
            <v>3818.73</v>
          </cell>
          <cell r="F6">
            <v>1963.34</v>
          </cell>
        </row>
        <row r="7">
          <cell r="E7">
            <v>3279.84</v>
          </cell>
          <cell r="F7">
            <v>3323.79</v>
          </cell>
        </row>
      </sheetData>
      <sheetData sheetId="6" refreshError="1"/>
      <sheetData sheetId="7">
        <row r="2">
          <cell r="J2">
            <v>44256</v>
          </cell>
          <cell r="K2">
            <v>44621</v>
          </cell>
          <cell r="L2">
            <v>44986</v>
          </cell>
          <cell r="M2">
            <v>45352</v>
          </cell>
          <cell r="N2">
            <v>45717</v>
          </cell>
        </row>
      </sheetData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ustomization"/>
      <sheetName val="Data Sheet"/>
      <sheetName val="Financials&gt;"/>
      <sheetName val="HistoricalFS"/>
      <sheetName val="Data&gt;"/>
    </sheetNames>
    <sheetDataSet>
      <sheetData sheetId="0"/>
      <sheetData sheetId="1"/>
      <sheetData sheetId="2"/>
      <sheetData sheetId="3"/>
      <sheetData sheetId="4"/>
      <sheetData sheetId="5">
        <row r="17">
          <cell r="B17">
            <v>57589</v>
          </cell>
        </row>
      </sheetData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"/>
    </sheetNames>
    <sheetDataSet>
      <sheetData sheetId="0" refreshError="1"/>
      <sheetData sheetId="1">
        <row r="3">
          <cell r="D3">
            <v>1652.2</v>
          </cell>
          <cell r="G3">
            <v>239.93</v>
          </cell>
          <cell r="I3">
            <v>-6116.52</v>
          </cell>
          <cell r="K3">
            <v>56809.09</v>
          </cell>
          <cell r="M3">
            <v>1749151.8810999999</v>
          </cell>
          <cell r="N3">
            <v>10952.92</v>
          </cell>
        </row>
        <row r="4">
          <cell r="D4">
            <v>6070</v>
          </cell>
          <cell r="G4">
            <v>26.55</v>
          </cell>
          <cell r="I4">
            <v>-3625</v>
          </cell>
          <cell r="K4">
            <v>10314</v>
          </cell>
          <cell r="M4">
            <v>339330.6</v>
          </cell>
          <cell r="N4">
            <v>2479</v>
          </cell>
        </row>
        <row r="5">
          <cell r="D5">
            <v>4181</v>
          </cell>
          <cell r="G5">
            <v>33.840000000000003</v>
          </cell>
          <cell r="I5">
            <v>2242.54</v>
          </cell>
          <cell r="K5">
            <v>12742</v>
          </cell>
          <cell r="M5">
            <v>416663.4</v>
          </cell>
          <cell r="N5">
            <v>2272</v>
          </cell>
        </row>
        <row r="6">
          <cell r="D6">
            <v>2315.1</v>
          </cell>
          <cell r="G6">
            <v>45.72</v>
          </cell>
          <cell r="I6">
            <v>3074.67</v>
          </cell>
          <cell r="K6">
            <v>26150.5</v>
          </cell>
          <cell r="M6">
            <v>765163.63</v>
          </cell>
          <cell r="N6">
            <v>4669.18</v>
          </cell>
        </row>
        <row r="7">
          <cell r="D7">
            <v>1235.9000000000001</v>
          </cell>
          <cell r="G7">
            <v>83.47</v>
          </cell>
          <cell r="I7">
            <v>3393.8</v>
          </cell>
          <cell r="K7">
            <v>34682.199999999997</v>
          </cell>
          <cell r="M7">
            <v>807054.79399999988</v>
          </cell>
          <cell r="N7">
            <v>5523</v>
          </cell>
        </row>
        <row r="8">
          <cell r="C8" t="str">
            <v>Cipla</v>
          </cell>
          <cell r="D8">
            <v>1211.0999999999999</v>
          </cell>
          <cell r="G8">
            <v>80.78</v>
          </cell>
          <cell r="I8">
            <v>-332.47</v>
          </cell>
          <cell r="K8">
            <v>28351.08</v>
          </cell>
          <cell r="M8">
            <v>646688.1348</v>
          </cell>
          <cell r="N8">
            <v>4533.37</v>
          </cell>
        </row>
        <row r="9">
          <cell r="D9">
            <v>922.4</v>
          </cell>
          <cell r="G9">
            <v>100.62</v>
          </cell>
          <cell r="I9">
            <v>6679.3</v>
          </cell>
          <cell r="K9">
            <v>26089.3</v>
          </cell>
          <cell r="M9">
            <v>804594.01199999999</v>
          </cell>
          <cell r="N9">
            <v>5026.2</v>
          </cell>
        </row>
        <row r="10">
          <cell r="D10">
            <v>2077.4</v>
          </cell>
          <cell r="G10">
            <v>41.28</v>
          </cell>
          <cell r="I10">
            <v>7814.15</v>
          </cell>
          <cell r="K10">
            <v>13914.08</v>
          </cell>
          <cell r="M10">
            <v>337138.15840000001</v>
          </cell>
          <cell r="N10">
            <v>1803.33</v>
          </cell>
        </row>
        <row r="11">
          <cell r="D11">
            <v>1339.8</v>
          </cell>
          <cell r="G11">
            <v>58.08</v>
          </cell>
          <cell r="I11">
            <v>-440.98999999999978</v>
          </cell>
          <cell r="K11">
            <v>33181.86</v>
          </cell>
          <cell r="M11">
            <v>681555.4044</v>
          </cell>
          <cell r="N11">
            <v>3484.96</v>
          </cell>
        </row>
        <row r="12">
          <cell r="D12">
            <v>5364.5</v>
          </cell>
          <cell r="G12">
            <v>11.96</v>
          </cell>
          <cell r="I12">
            <v>792.52</v>
          </cell>
          <cell r="K12">
            <v>14252.7</v>
          </cell>
          <cell r="M12">
            <v>287904.53999999998</v>
          </cell>
          <cell r="N12">
            <v>2422.44</v>
          </cell>
        </row>
      </sheetData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40"/>
  <sheetViews>
    <sheetView showGridLines="0" workbookViewId="0">
      <pane ySplit="3" topLeftCell="A6" activePane="bottomLeft" state="frozen"/>
      <selection pane="bottomLeft" activeCell="H24" sqref="H24"/>
    </sheetView>
  </sheetViews>
  <sheetFormatPr defaultRowHeight="15" x14ac:dyDescent="0.25"/>
  <cols>
    <col min="1" max="1" width="1.85546875" customWidth="1"/>
    <col min="2" max="2" width="28.85546875" bestFit="1" customWidth="1"/>
    <col min="5" max="5" width="10.140625" bestFit="1" customWidth="1"/>
    <col min="12" max="12" width="10.140625" bestFit="1" customWidth="1"/>
    <col min="13" max="13" width="12.28515625" customWidth="1"/>
    <col min="14" max="15" width="9.85546875" bestFit="1" customWidth="1"/>
  </cols>
  <sheetData>
    <row r="2" spans="2:15" x14ac:dyDescent="0.25">
      <c r="B2" s="159" t="str">
        <f>"Ratio Analysis - "&amp;'Data Sheet'!B1</f>
        <v>Ratio Analysis - ASIAN PAINTS LTD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</row>
    <row r="3" spans="2:15" x14ac:dyDescent="0.25">
      <c r="B3" s="8" t="s">
        <v>112</v>
      </c>
      <c r="C3" s="9">
        <f>'Data Sheet'!B16</f>
        <v>42460</v>
      </c>
      <c r="D3" s="9">
        <f>'Data Sheet'!C16</f>
        <v>42825</v>
      </c>
      <c r="E3" s="9">
        <f>'Data Sheet'!D16</f>
        <v>43190</v>
      </c>
      <c r="F3" s="9">
        <f>'Data Sheet'!E16</f>
        <v>43555</v>
      </c>
      <c r="G3" s="9">
        <f>'Data Sheet'!F16</f>
        <v>43921</v>
      </c>
      <c r="H3" s="9">
        <f>'Data Sheet'!G16</f>
        <v>44286</v>
      </c>
      <c r="I3" s="9">
        <f>'Data Sheet'!H16</f>
        <v>44651</v>
      </c>
      <c r="J3" s="9">
        <f>'Data Sheet'!I16</f>
        <v>45016</v>
      </c>
      <c r="K3" s="9">
        <f>'Data Sheet'!J16</f>
        <v>45382</v>
      </c>
      <c r="L3" s="9">
        <f>'Data Sheet'!K16</f>
        <v>45747</v>
      </c>
      <c r="M3" s="44" t="s">
        <v>149</v>
      </c>
      <c r="N3" s="44" t="s">
        <v>147</v>
      </c>
      <c r="O3" s="44" t="s">
        <v>148</v>
      </c>
    </row>
    <row r="5" spans="2:15" x14ac:dyDescent="0.25">
      <c r="B5" s="31" t="s">
        <v>59</v>
      </c>
      <c r="C5" s="31"/>
      <c r="D5" s="32">
        <f>IFERROR(HistoricalFS!D7,0)</f>
        <v>-0.73845717064022642</v>
      </c>
      <c r="E5" s="32">
        <f>IFERROR(HistoricalFS!E7,0)</f>
        <v>0.11702039371955486</v>
      </c>
      <c r="F5" s="32">
        <f>IFERROR(HistoricalFS!F7,0)</f>
        <v>0.14357471670861943</v>
      </c>
      <c r="G5" s="32">
        <f>IFERROR(HistoricalFS!G7,0)</f>
        <v>5.0473671435691925E-2</v>
      </c>
      <c r="H5" s="32">
        <f>IFERROR(HistoricalFS!H7,0)</f>
        <v>7.4292287711052118E-2</v>
      </c>
      <c r="I5" s="32">
        <f>IFERROR(HistoricalFS!I7,0)</f>
        <v>0.34028284711453471</v>
      </c>
      <c r="J5" s="32">
        <f>IFERROR(HistoricalFS!J7,0)</f>
        <v>0.18512278497715551</v>
      </c>
      <c r="K5" s="32">
        <f>IFERROR(HistoricalFS!K7,0)</f>
        <v>2.9173126532572313E-2</v>
      </c>
      <c r="L5" s="32">
        <f>IFERROR(HistoricalFS!L7,0)</f>
        <v>-4.4770308155605121E-2</v>
      </c>
      <c r="M5" s="31"/>
      <c r="N5" s="32">
        <f>IFERROR(AVERAGE(D5:L5),0)</f>
        <v>1.7412483267038814E-2</v>
      </c>
      <c r="O5" s="32">
        <f>IFERROR(MEDIAN(C5:L5),0)</f>
        <v>7.4292287711052118E-2</v>
      </c>
    </row>
    <row r="6" spans="2:15" x14ac:dyDescent="0.25">
      <c r="B6" s="33" t="s">
        <v>118</v>
      </c>
      <c r="C6" s="33"/>
      <c r="D6" s="34">
        <f>IFERROR(HistoricalFS!D18/HistoricalFS!C18-1,0)</f>
        <v>-0.93497840584415937</v>
      </c>
      <c r="E6" s="34">
        <f>IFERROR(HistoricalFS!E18/HistoricalFS!D18-1,0)</f>
        <v>7.0229410507188561E-2</v>
      </c>
      <c r="F6" s="34">
        <f>IFERROR(HistoricalFS!F18/HistoricalFS!E18-1,0)</f>
        <v>0.17507123885381137</v>
      </c>
      <c r="G6" s="34">
        <f>IFERROR(HistoricalFS!G18/HistoricalFS!F18-1,0)</f>
        <v>0.10540141409955961</v>
      </c>
      <c r="H6" s="34">
        <f>IFERROR(HistoricalFS!H18/HistoricalFS!G18-1,0)</f>
        <v>0.16671512361327179</v>
      </c>
      <c r="I6" s="34">
        <f>IFERROR(HistoricalFS!I18/HistoricalFS!H18-1,0)</f>
        <v>-1.0707224647830249E-2</v>
      </c>
      <c r="J6" s="34">
        <f>IFERROR(HistoricalFS!J18/HistoricalFS!I18-1,0)</f>
        <v>0.3031532534906034</v>
      </c>
      <c r="K6" s="34">
        <f>IFERROR(HistoricalFS!K18/HistoricalFS!J18-1,0)</f>
        <v>0.21168911665473988</v>
      </c>
      <c r="L6" s="34">
        <f>IFERROR(HistoricalFS!L18/HistoricalFS!K18-1,0)</f>
        <v>-0.20814425351154509</v>
      </c>
      <c r="M6" s="33"/>
      <c r="N6" s="34">
        <f t="shared" ref="N6:N9" si="0">IFERROR(AVERAGE(D6:L6),0)</f>
        <v>-1.350781408715112E-2</v>
      </c>
      <c r="O6" s="34">
        <f t="shared" ref="O6:O40" si="1">IFERROR(MEDIAN(C6:L6),0)</f>
        <v>0.10540141409955961</v>
      </c>
    </row>
    <row r="7" spans="2:15" x14ac:dyDescent="0.25">
      <c r="B7" s="33" t="s">
        <v>119</v>
      </c>
      <c r="C7" s="33"/>
      <c r="D7" s="34">
        <f>IFERROR(HistoricalFS!D27/HistoricalFS!C27-1,0)</f>
        <v>-0.94265624654812974</v>
      </c>
      <c r="E7" s="34">
        <f>IFERROR(HistoricalFS!E27/HistoricalFS!D27-1,0)</f>
        <v>6.8823331960147449E-2</v>
      </c>
      <c r="F7" s="34">
        <f>IFERROR(HistoricalFS!F27/HistoricalFS!E27-1,0)</f>
        <v>8.2174963509120014E-2</v>
      </c>
      <c r="G7" s="34">
        <f>IFERROR(HistoricalFS!G27/HistoricalFS!F27-1,0)</f>
        <v>8.1326900436296867E-2</v>
      </c>
      <c r="H7" s="34">
        <f>IFERROR(HistoricalFS!H27/HistoricalFS!G27-1,0)</f>
        <v>0.21158057177014689</v>
      </c>
      <c r="I7" s="34">
        <f>IFERROR(HistoricalFS!I27/HistoricalFS!H27-1,0)</f>
        <v>-2.0353915473104944E-2</v>
      </c>
      <c r="J7" s="34">
        <f>IFERROR(HistoricalFS!J27/HistoricalFS!I27-1,0)</f>
        <v>0.35087002548922808</v>
      </c>
      <c r="K7" s="34">
        <f>IFERROR(HistoricalFS!K27/HistoricalFS!J27-1,0)</f>
        <v>0.24145913260813057</v>
      </c>
      <c r="L7" s="34">
        <f>IFERROR(HistoricalFS!L27/HistoricalFS!K27-1,0)</f>
        <v>-0.2717958696514835</v>
      </c>
      <c r="M7" s="33"/>
      <c r="N7" s="34">
        <f t="shared" si="0"/>
        <v>-2.2063456211072037E-2</v>
      </c>
      <c r="O7" s="34">
        <f t="shared" si="1"/>
        <v>8.1326900436296867E-2</v>
      </c>
    </row>
    <row r="8" spans="2:15" x14ac:dyDescent="0.25">
      <c r="B8" s="33" t="s">
        <v>120</v>
      </c>
      <c r="C8" s="33"/>
      <c r="D8" s="34">
        <f>IFERROR(HistoricalFS!D33/HistoricalFS!C33-1,0)</f>
        <v>-0.96259817602735509</v>
      </c>
      <c r="E8" s="34">
        <f>IFERROR(HistoricalFS!E33/HistoricalFS!D33-1,0)</f>
        <v>4.9310334554771407E-2</v>
      </c>
      <c r="F8" s="34">
        <f>IFERROR(HistoricalFS!F33/HistoricalFS!E33-1,0)</f>
        <v>9.8324352255112046E-2</v>
      </c>
      <c r="G8" s="34">
        <f>IFERROR(HistoricalFS!G33/HistoricalFS!F33-1,0)</f>
        <v>0.25323248564057566</v>
      </c>
      <c r="H8" s="34">
        <f>IFERROR(HistoricalFS!H33/HistoricalFS!G33-1,0)</f>
        <v>0.1860533231026924</v>
      </c>
      <c r="I8" s="34">
        <f>IFERROR(HistoricalFS!I33/HistoricalFS!H33-1,0)</f>
        <v>-2.9971131438908061E-2</v>
      </c>
      <c r="J8" s="34">
        <f>IFERROR(HistoricalFS!J33/HistoricalFS!I33-1,0)</f>
        <v>0.34957492658474654</v>
      </c>
      <c r="K8" s="34">
        <f>IFERROR(HistoricalFS!K33/HistoricalFS!J33-1,0)</f>
        <v>0.25847332665581102</v>
      </c>
      <c r="L8" s="34">
        <f>IFERROR(HistoricalFS!L33/HistoricalFS!K33-1,0)</f>
        <v>-0.29075754792863395</v>
      </c>
      <c r="M8" s="33"/>
      <c r="N8" s="34">
        <f t="shared" si="0"/>
        <v>-9.8175674001320032E-3</v>
      </c>
      <c r="O8" s="34">
        <f t="shared" si="1"/>
        <v>9.8324352255112046E-2</v>
      </c>
    </row>
    <row r="9" spans="2:15" x14ac:dyDescent="0.25">
      <c r="B9" s="35" t="s">
        <v>121</v>
      </c>
      <c r="C9" s="35"/>
      <c r="D9" s="36">
        <f>IFERROR(HistoricalFS!D41/HistoricalFS!C41-1,0)</f>
        <v>0.37333889352237981</v>
      </c>
      <c r="E9" s="36">
        <f>IFERROR(HistoricalFS!E41/HistoricalFS!D41-1,0)</f>
        <v>-0.15534727423632066</v>
      </c>
      <c r="F9" s="36">
        <f>IFERROR(HistoricalFS!F41/HistoricalFS!E41-1,0)</f>
        <v>0.20690233672858005</v>
      </c>
      <c r="G9" s="36">
        <f>IFERROR(HistoricalFS!G41/HistoricalFS!F41-1,0)</f>
        <v>0.14285714285714279</v>
      </c>
      <c r="H9" s="36">
        <f>IFERROR(HistoricalFS!H41/HistoricalFS!G41-1,0)</f>
        <v>0.48749826244092298</v>
      </c>
      <c r="I9" s="36">
        <f>IFERROR(HistoricalFS!I41/HistoricalFS!H41-1,0)</f>
        <v>7.2831552941588606E-2</v>
      </c>
      <c r="J9" s="36">
        <f>IFERROR(HistoricalFS!J41/HistoricalFS!I41-1,0)</f>
        <v>0.33942521789783719</v>
      </c>
      <c r="K9" s="36">
        <f>IFERROR(HistoricalFS!K41/HistoricalFS!J41-1,0)</f>
        <v>0.2982461844859472</v>
      </c>
      <c r="L9" s="36">
        <f>IFERROR(HistoricalFS!L41/HistoricalFS!K41-1,0)</f>
        <v>-0.25525493560081891</v>
      </c>
      <c r="M9" s="33"/>
      <c r="N9" s="36">
        <f t="shared" si="0"/>
        <v>0.16783304233747323</v>
      </c>
      <c r="O9" s="36">
        <f t="shared" si="1"/>
        <v>0.20690233672858005</v>
      </c>
    </row>
    <row r="10" spans="2:15" x14ac:dyDescent="0.25">
      <c r="M10" s="33"/>
    </row>
    <row r="11" spans="2:15" x14ac:dyDescent="0.25">
      <c r="B11" s="31" t="s">
        <v>122</v>
      </c>
      <c r="C11" s="32">
        <f>IFERROR(HistoricalFS!C13,0)</f>
        <v>0.83653406032402022</v>
      </c>
      <c r="D11" s="32">
        <f>IFERROR(HistoricalFS!D13,0)</f>
        <v>0.35382642001488518</v>
      </c>
      <c r="E11" s="32">
        <f>IFERROR(HistoricalFS!E13,0)</f>
        <v>0.33465263558312119</v>
      </c>
      <c r="F11" s="32">
        <f>IFERROR(HistoricalFS!F13,0)</f>
        <v>0.3292243867375117</v>
      </c>
      <c r="G11" s="32">
        <f>IFERROR(HistoricalFS!G13,0)</f>
        <v>0.34897544684272364</v>
      </c>
      <c r="H11" s="32">
        <f>IFERROR(HistoricalFS!H13,0)</f>
        <v>0.35360356729835285</v>
      </c>
      <c r="I11" s="32">
        <f>IFERROR(HistoricalFS!I13,0)</f>
        <v>0.29245139732685294</v>
      </c>
      <c r="J11" s="32">
        <f>IFERROR(HistoricalFS!J13,0)</f>
        <v>0.31088223670495074</v>
      </c>
      <c r="K11" s="32">
        <f>IFERROR(HistoricalFS!K13,0)</f>
        <v>0.35173503221464147</v>
      </c>
      <c r="L11" s="32">
        <f>IFERROR(HistoricalFS!L13,0)</f>
        <v>0.32927727025785108</v>
      </c>
      <c r="M11" s="33"/>
      <c r="N11" s="32">
        <f>IFERROR(AVERAGE(C11:L11),0)</f>
        <v>0.38411624533049105</v>
      </c>
      <c r="O11" s="32">
        <f t="shared" si="1"/>
        <v>0.34181404121292241</v>
      </c>
    </row>
    <row r="12" spans="2:15" x14ac:dyDescent="0.25">
      <c r="B12" s="33" t="s">
        <v>123</v>
      </c>
      <c r="C12" s="34">
        <f>IFERROR(HistoricalFS!C19,0)</f>
        <v>0.79950250915973542</v>
      </c>
      <c r="D12" s="34">
        <f>IFERROR(HistoricalFS!D19,0)</f>
        <v>0.19876258050895004</v>
      </c>
      <c r="E12" s="34">
        <f>IFERROR(HistoricalFS!E19,0)</f>
        <v>0.19043659414367703</v>
      </c>
      <c r="F12" s="34">
        <f>IFERROR(HistoricalFS!F19,0)</f>
        <v>0.19568163000977651</v>
      </c>
      <c r="G12" s="34">
        <f>IFERROR(HistoricalFS!G19,0)</f>
        <v>0.2059135382522109</v>
      </c>
      <c r="H12" s="34">
        <f>IFERROR(HistoricalFS!H19,0)</f>
        <v>0.22362856178317034</v>
      </c>
      <c r="I12" s="34">
        <f>IFERROR(HistoricalFS!I19,0)</f>
        <v>0.16506524798909186</v>
      </c>
      <c r="J12" s="34">
        <f>IFERROR(HistoricalFS!J19,0)</f>
        <v>0.1815046657459756</v>
      </c>
      <c r="K12" s="34">
        <f>IFERROR(HistoricalFS!K19,0)</f>
        <v>0.21369313134654075</v>
      </c>
      <c r="L12" s="34">
        <f>IFERROR(HistoricalFS!L19,0)</f>
        <v>0.17714496888716388</v>
      </c>
      <c r="M12" s="33"/>
      <c r="N12" s="34">
        <f t="shared" ref="N12:N40" si="2">IFERROR(AVERAGE(C12:L12),0)</f>
        <v>0.25513334278262928</v>
      </c>
      <c r="O12" s="34">
        <f t="shared" si="1"/>
        <v>0.19722210525936329</v>
      </c>
    </row>
    <row r="13" spans="2:15" x14ac:dyDescent="0.25">
      <c r="B13" s="33" t="s">
        <v>124</v>
      </c>
      <c r="C13" s="34">
        <f>IFERROR((HistoricalFS!C18-HistoricalFS!C24)/HistoricalFS!C6,0)</f>
        <v>0.79471722030248837</v>
      </c>
      <c r="D13" s="34">
        <f>IFERROR((HistoricalFS!D18-HistoricalFS!D24)/HistoricalFS!D6,0)</f>
        <v>0.17653510591893901</v>
      </c>
      <c r="E13" s="34">
        <f>IFERROR((HistoricalFS!E18-HistoricalFS!E24)/HistoricalFS!E6,0)</f>
        <v>0.16901135543001156</v>
      </c>
      <c r="F13" s="34">
        <f>IFERROR((HistoricalFS!F18-HistoricalFS!F24)/HistoricalFS!F6,0)</f>
        <v>0.16334608965739844</v>
      </c>
      <c r="G13" s="34">
        <f>IFERROR((HistoricalFS!G18-HistoricalFS!G24)/HistoricalFS!G6,0)</f>
        <v>0.16729643144288442</v>
      </c>
      <c r="H13" s="34">
        <f>IFERROR((HistoricalFS!H18-HistoricalFS!H24)/HistoricalFS!H6,0)</f>
        <v>0.18718598577152007</v>
      </c>
      <c r="I13" s="34">
        <f>IFERROR((HistoricalFS!I18-HistoricalFS!I24)/HistoricalFS!I6,0)</f>
        <v>0.13701287366053996</v>
      </c>
      <c r="J13" s="34">
        <f>IFERROR((HistoricalFS!J18-HistoricalFS!J24)/HistoricalFS!J6,0)</f>
        <v>0.15662629292760291</v>
      </c>
      <c r="K13" s="34">
        <f>IFERROR((HistoricalFS!K18-HistoricalFS!K24)/HistoricalFS!K6,0)</f>
        <v>0.18966139480424279</v>
      </c>
      <c r="L13" s="34">
        <f>IFERROR((HistoricalFS!L18-HistoricalFS!L24)/HistoricalFS!L6,0)</f>
        <v>0.14687447095791203</v>
      </c>
      <c r="M13" s="33"/>
      <c r="N13" s="34">
        <f t="shared" si="2"/>
        <v>0.22882672208735397</v>
      </c>
      <c r="O13" s="34">
        <f t="shared" si="1"/>
        <v>0.16815389343644799</v>
      </c>
    </row>
    <row r="14" spans="2:15" x14ac:dyDescent="0.25">
      <c r="B14" s="33" t="s">
        <v>125</v>
      </c>
      <c r="C14" s="34">
        <f>IFERROR(HistoricalFS!C28,0)</f>
        <v>0.79386636336800431</v>
      </c>
      <c r="D14" s="34">
        <f>IFERROR(HistoricalFS!D28,0)</f>
        <v>0.17405668175320793</v>
      </c>
      <c r="E14" s="34">
        <f>IFERROR(HistoricalFS!E28,0)</f>
        <v>0.16654650495852794</v>
      </c>
      <c r="F14" s="34">
        <f>IFERROR(HistoricalFS!F28,0)</f>
        <v>0.15760444446061442</v>
      </c>
      <c r="G14" s="34">
        <f>IFERROR(HistoricalFS!G28,0)</f>
        <v>0.16223340961098387</v>
      </c>
      <c r="H14" s="34">
        <f>IFERROR(HistoricalFS!H28,0)</f>
        <v>0.18296589245325004</v>
      </c>
      <c r="I14" s="34">
        <f>IFERROR(HistoricalFS!I28,0)</f>
        <v>0.13373432371359606</v>
      </c>
      <c r="J14" s="34">
        <f>IFERROR(HistoricalFS!J28,0)</f>
        <v>0.15243795121806938</v>
      </c>
      <c r="K14" s="34">
        <f>IFERROR(HistoricalFS!K28,0)</f>
        <v>0.18388110009570438</v>
      </c>
      <c r="L14" s="34">
        <f>IFERROR(HistoricalFS!L28,0)</f>
        <v>0.14017882581117827</v>
      </c>
      <c r="M14" s="33"/>
      <c r="N14" s="34">
        <f t="shared" si="2"/>
        <v>0.22475054974431363</v>
      </c>
      <c r="O14" s="34">
        <f t="shared" si="1"/>
        <v>0.16438995728475592</v>
      </c>
    </row>
    <row r="15" spans="2:15" x14ac:dyDescent="0.25">
      <c r="B15" s="35" t="s">
        <v>126</v>
      </c>
      <c r="C15" s="36">
        <f>IFERROR(HistoricalFS!C34,0)</f>
        <v>0.77920227821285315</v>
      </c>
      <c r="D15" s="36">
        <f>IFERROR(HistoricalFS!D34,0)</f>
        <v>0.1114294990237014</v>
      </c>
      <c r="E15" s="36">
        <f>IFERROR(HistoricalFS!E34,0)</f>
        <v>0.10467501359620324</v>
      </c>
      <c r="F15" s="36">
        <f>IFERROR(HistoricalFS!F34,0)</f>
        <v>0.1005331045060507</v>
      </c>
      <c r="G15" s="36">
        <f>IFERROR(HistoricalFS!G34,0)</f>
        <v>0.1199376584822808</v>
      </c>
      <c r="H15" s="36">
        <f>IFERROR(HistoricalFS!H34,0)</f>
        <v>0.13241504200980173</v>
      </c>
      <c r="I15" s="36">
        <f>IFERROR(HistoricalFS!I34,0)</f>
        <v>9.5835303464314917E-2</v>
      </c>
      <c r="J15" s="36">
        <f>IFERROR(HistoricalFS!J34,0)</f>
        <v>0.10913377438741322</v>
      </c>
      <c r="K15" s="36">
        <f>IFERROR(HistoricalFS!K34,0)</f>
        <v>0.13344882465650537</v>
      </c>
      <c r="L15" s="36">
        <f>IFERROR(HistoricalFS!L34,0)</f>
        <v>9.9083573755619339E-2</v>
      </c>
      <c r="M15" s="33"/>
      <c r="N15" s="36">
        <f t="shared" si="2"/>
        <v>0.1785694072094744</v>
      </c>
      <c r="O15" s="36">
        <f t="shared" si="1"/>
        <v>0.11028163670555731</v>
      </c>
    </row>
    <row r="16" spans="2:15" x14ac:dyDescent="0.25">
      <c r="M16" s="33"/>
    </row>
    <row r="17" spans="2:15" x14ac:dyDescent="0.25">
      <c r="B17" s="31" t="s">
        <v>127</v>
      </c>
      <c r="C17" s="32">
        <f>IFERROR(HistoricalFS!C16,0)</f>
        <v>3.7031551164284846E-2</v>
      </c>
      <c r="D17" s="32">
        <f>IFERROR(HistoricalFS!D16,0)</f>
        <v>0.15506383950593511</v>
      </c>
      <c r="E17" s="32">
        <f>IFERROR(HistoricalFS!E16,0)</f>
        <v>0.14421604143944414</v>
      </c>
      <c r="F17" s="32">
        <f>IFERROR(HistoricalFS!F16,0)</f>
        <v>0.13354275672773522</v>
      </c>
      <c r="G17" s="32">
        <f>IFERROR(HistoricalFS!G16,0)</f>
        <v>0.14306190859051271</v>
      </c>
      <c r="H17" s="32">
        <f>IFERROR(HistoricalFS!H16,0)</f>
        <v>0.12997500551518251</v>
      </c>
      <c r="I17" s="32">
        <f>IFERROR(HistoricalFS!I16,0)</f>
        <v>0.1273861493377611</v>
      </c>
      <c r="J17" s="32">
        <f>IFERROR(HistoricalFS!J16,0)</f>
        <v>0.12937757095897515</v>
      </c>
      <c r="K17" s="32">
        <f>IFERROR(HistoricalFS!K16,0)</f>
        <v>0.1380419008681007</v>
      </c>
      <c r="L17" s="32">
        <f>IFERROR(HistoricalFS!L16,0)</f>
        <v>0.15213230137068723</v>
      </c>
      <c r="M17" s="33"/>
      <c r="N17" s="32">
        <f t="shared" si="2"/>
        <v>0.12898290254786188</v>
      </c>
      <c r="O17" s="32">
        <f t="shared" si="1"/>
        <v>0.13579232879791797</v>
      </c>
    </row>
    <row r="18" spans="2:15" x14ac:dyDescent="0.25">
      <c r="B18" s="33" t="s">
        <v>128</v>
      </c>
      <c r="C18" s="34">
        <f>IFERROR(HistoricalFS!C25,0)</f>
        <v>4.7852888572470437E-3</v>
      </c>
      <c r="D18" s="34">
        <f>IFERROR(HistoricalFS!D25,0)</f>
        <v>2.2227474590011016E-2</v>
      </c>
      <c r="E18" s="34">
        <f>IFERROR(HistoricalFS!E25,0)</f>
        <v>2.1425238713665449E-2</v>
      </c>
      <c r="F18" s="34">
        <f>IFERROR(HistoricalFS!F25,0)</f>
        <v>3.2335540352378074E-2</v>
      </c>
      <c r="G18" s="34">
        <f>IFERROR(HistoricalFS!G25,0)</f>
        <v>3.8617106809326486E-2</v>
      </c>
      <c r="H18" s="34">
        <f>IFERROR(HistoricalFS!H25,0)</f>
        <v>3.6442576011650275E-2</v>
      </c>
      <c r="I18" s="34">
        <f>IFERROR(HistoricalFS!I25,0)</f>
        <v>2.8052374328551871E-2</v>
      </c>
      <c r="J18" s="34">
        <f>IFERROR(HistoricalFS!J25,0)</f>
        <v>2.4878372818372688E-2</v>
      </c>
      <c r="K18" s="34">
        <f>IFERROR(HistoricalFS!K25,0)</f>
        <v>2.4031736542297968E-2</v>
      </c>
      <c r="L18" s="34">
        <f>IFERROR(HistoricalFS!L25,0)</f>
        <v>3.0270497929251843E-2</v>
      </c>
      <c r="M18" s="33"/>
      <c r="N18" s="34">
        <f t="shared" si="2"/>
        <v>2.6306620695275267E-2</v>
      </c>
      <c r="O18" s="34">
        <f t="shared" si="1"/>
        <v>2.6465373573462278E-2</v>
      </c>
    </row>
    <row r="19" spans="2:15" x14ac:dyDescent="0.25">
      <c r="B19" s="35" t="s">
        <v>129</v>
      </c>
      <c r="C19" s="37">
        <f>C13</f>
        <v>0.79471722030248837</v>
      </c>
      <c r="D19" s="37">
        <f t="shared" ref="D19:L19" si="3">D13</f>
        <v>0.17653510591893901</v>
      </c>
      <c r="E19" s="37">
        <f t="shared" si="3"/>
        <v>0.16901135543001156</v>
      </c>
      <c r="F19" s="37">
        <f t="shared" si="3"/>
        <v>0.16334608965739844</v>
      </c>
      <c r="G19" s="37">
        <f t="shared" si="3"/>
        <v>0.16729643144288442</v>
      </c>
      <c r="H19" s="37">
        <f t="shared" si="3"/>
        <v>0.18718598577152007</v>
      </c>
      <c r="I19" s="37">
        <f t="shared" si="3"/>
        <v>0.13701287366053996</v>
      </c>
      <c r="J19" s="37">
        <f t="shared" si="3"/>
        <v>0.15662629292760291</v>
      </c>
      <c r="K19" s="37">
        <f t="shared" si="3"/>
        <v>0.18966139480424279</v>
      </c>
      <c r="L19" s="37">
        <f t="shared" si="3"/>
        <v>0.14687447095791203</v>
      </c>
      <c r="M19" s="33"/>
      <c r="N19" s="36">
        <f t="shared" si="2"/>
        <v>0.22882672208735397</v>
      </c>
      <c r="O19" s="36">
        <f t="shared" si="1"/>
        <v>0.16815389343644799</v>
      </c>
    </row>
    <row r="20" spans="2:15" x14ac:dyDescent="0.25">
      <c r="M20" s="33"/>
    </row>
    <row r="21" spans="2:15" x14ac:dyDescent="0.25">
      <c r="B21" s="31" t="s">
        <v>130</v>
      </c>
      <c r="C21" s="32">
        <f>IFERROR((HistoricalFS!C18-HistoricalFS!C24)/(SUM(HistoricalFS!C47:C49)),0)</f>
        <v>6.6831534540187008</v>
      </c>
      <c r="D21" s="32">
        <f>IFERROR((HistoricalFS!D18-HistoricalFS!D24)/(SUM(HistoricalFS!D47:D49)),0)</f>
        <v>0.32568533713528403</v>
      </c>
      <c r="E21" s="32">
        <f>IFERROR((HistoricalFS!E18-HistoricalFS!E24)/(SUM(HistoricalFS!E47:E49)),0)</f>
        <v>0.31793918820706524</v>
      </c>
      <c r="F21" s="32">
        <f>IFERROR((HistoricalFS!F18-HistoricalFS!F24)/(SUM(HistoricalFS!F47:F49)),0)</f>
        <v>0.29126564505590763</v>
      </c>
      <c r="G21" s="32">
        <f>IFERROR((HistoricalFS!G18-HistoricalFS!G24)/(SUM(HistoricalFS!G47:G49)),0)</f>
        <v>0.3005931373159112</v>
      </c>
      <c r="H21" s="32">
        <f>IFERROR((HistoricalFS!H18-HistoricalFS!H24)/(SUM(HistoricalFS!H47:H49)),0)</f>
        <v>0.29241025338485616</v>
      </c>
      <c r="I21" s="32">
        <f>IFERROR((HistoricalFS!I18-HistoricalFS!I24)/(SUM(HistoricalFS!I47:I49)),0)</f>
        <v>0.2589385678029722</v>
      </c>
      <c r="J21" s="32">
        <f>IFERROR((HistoricalFS!J18-HistoricalFS!J24)/(SUM(HistoricalFS!J47:J49)),0)</f>
        <v>0.30135928613070662</v>
      </c>
      <c r="K21" s="32">
        <f>IFERROR((HistoricalFS!K18-HistoricalFS!K24)/(SUM(HistoricalFS!K47:K49)),0)</f>
        <v>0.31750608885291864</v>
      </c>
      <c r="L21" s="32">
        <f>IFERROR((HistoricalFS!L18-HistoricalFS!L24)/(SUM(HistoricalFS!L47:L49)),0)</f>
        <v>0.22959184143918202</v>
      </c>
      <c r="M21" s="33"/>
      <c r="N21" s="32">
        <f t="shared" si="2"/>
        <v>0.93184427993435026</v>
      </c>
      <c r="O21" s="32">
        <f t="shared" si="1"/>
        <v>0.30097621172330891</v>
      </c>
    </row>
    <row r="22" spans="2:15" x14ac:dyDescent="0.25">
      <c r="B22" s="33" t="s">
        <v>131</v>
      </c>
      <c r="C22" s="34">
        <f>IFERROR(HistoricalFS!C44,0)</f>
        <v>0.98396825920343156</v>
      </c>
      <c r="D22" s="34">
        <f>IFERROR(HistoricalFS!D44,0)</f>
        <v>0.4113385169958591</v>
      </c>
      <c r="E22" s="34">
        <f>IFERROR(HistoricalFS!E44,0)</f>
        <v>0.52615112060007641</v>
      </c>
      <c r="F22" s="34">
        <f>IFERROR(HistoricalFS!F44,0)</f>
        <v>0.47930743898214867</v>
      </c>
      <c r="G22" s="34">
        <f>IFERROR(HistoricalFS!G44,0)</f>
        <v>0.52516614482135515</v>
      </c>
      <c r="H22" s="34">
        <f>IFERROR(HistoricalFS!H44,0)</f>
        <v>0.40448332231922424</v>
      </c>
      <c r="I22" s="34">
        <f>IFERROR(HistoricalFS!I44,0)</f>
        <v>0.34137106345444268</v>
      </c>
      <c r="J22" s="34">
        <f>IFERROR(HistoricalFS!J44,0)</f>
        <v>0.34632439483829069</v>
      </c>
      <c r="K22" s="34">
        <f>IFERROR(HistoricalFS!K44,0)</f>
        <v>0.32566559630800174</v>
      </c>
      <c r="L22" s="34">
        <f>IFERROR(HistoricalFS!L44,0)</f>
        <v>0.29191037925399443</v>
      </c>
      <c r="M22" s="33"/>
      <c r="N22" s="34">
        <f t="shared" si="2"/>
        <v>0.46356862367768248</v>
      </c>
      <c r="O22" s="34">
        <f t="shared" si="1"/>
        <v>0.40791091965754167</v>
      </c>
    </row>
    <row r="23" spans="2:15" x14ac:dyDescent="0.25">
      <c r="B23" s="33" t="s">
        <v>132</v>
      </c>
      <c r="C23" s="34">
        <f>IFERROR(HistoricalFS!C33/SUM(HistoricalFS!C47:C48),0)</f>
        <v>6.8773514058625382</v>
      </c>
      <c r="D23" s="34">
        <f>IFERROR(HistoricalFS!D33/SUM(HistoricalFS!D47:D48),0)</f>
        <v>0.22072255122049375</v>
      </c>
      <c r="E23" s="34">
        <f>IFERROR(HistoricalFS!E33/SUM(HistoricalFS!E47:E48),0)</f>
        <v>0.20940093196024379</v>
      </c>
      <c r="F23" s="34">
        <f>IFERROR(HistoricalFS!F33/SUM(HistoricalFS!F47:F48),0)</f>
        <v>0.20424051401449772</v>
      </c>
      <c r="G23" s="34">
        <f>IFERROR(HistoricalFS!G33/SUM(HistoricalFS!G47:G48),0)</f>
        <v>0.23929434480797915</v>
      </c>
      <c r="H23" s="34">
        <f>IFERROR(HistoricalFS!H33/SUM(HistoricalFS!H47:H48),0)</f>
        <v>0.22450686342414569</v>
      </c>
      <c r="I23" s="34">
        <f>IFERROR(HistoricalFS!I33/SUM(HistoricalFS!I47:I48),0)</f>
        <v>0.20192722617865025</v>
      </c>
      <c r="J23" s="34">
        <f>IFERROR(HistoricalFS!J33/SUM(HistoricalFS!J47:J48),0)</f>
        <v>0.23535616983997826</v>
      </c>
      <c r="K23" s="34">
        <f>IFERROR(HistoricalFS!K33/SUM(HistoricalFS!K47:K48),0)</f>
        <v>0.25291831079168969</v>
      </c>
      <c r="L23" s="34">
        <f>IFERROR(HistoricalFS!L33/SUM(HistoricalFS!L47:L48),0)</f>
        <v>0.17317128363628317</v>
      </c>
      <c r="M23" s="33"/>
      <c r="N23" s="34">
        <f t="shared" si="2"/>
        <v>0.88388896017364993</v>
      </c>
      <c r="O23" s="34">
        <f t="shared" si="1"/>
        <v>0.22261470732231972</v>
      </c>
    </row>
    <row r="24" spans="2:15" x14ac:dyDescent="0.25">
      <c r="B24" s="33" t="s">
        <v>133</v>
      </c>
      <c r="C24" s="34">
        <f>IFERROR(C22*C23,0)</f>
        <v>6.7670954907568346</v>
      </c>
      <c r="D24" s="34">
        <f t="shared" ref="D24:L24" si="4">IFERROR(D22*D23,0)</f>
        <v>9.0791686886580444E-2</v>
      </c>
      <c r="E24" s="34">
        <f t="shared" si="4"/>
        <v>0.11017653500558262</v>
      </c>
      <c r="F24" s="34">
        <f t="shared" si="4"/>
        <v>9.789399770868655E-2</v>
      </c>
      <c r="G24" s="34">
        <f t="shared" si="4"/>
        <v>0.12566928854035847</v>
      </c>
      <c r="H24" s="34">
        <f t="shared" si="4"/>
        <v>9.0809282001266783E-2</v>
      </c>
      <c r="I24" s="34">
        <f t="shared" si="4"/>
        <v>6.893211194101162E-2</v>
      </c>
      <c r="J24" s="34">
        <f t="shared" si="4"/>
        <v>8.1509583091288432E-2</v>
      </c>
      <c r="K24" s="34">
        <f t="shared" si="4"/>
        <v>8.2366792501188141E-2</v>
      </c>
      <c r="L24" s="34">
        <f t="shared" si="4"/>
        <v>5.055049508216846E-2</v>
      </c>
      <c r="M24" s="33"/>
      <c r="N24" s="34">
        <f t="shared" si="2"/>
        <v>0.75657952635149661</v>
      </c>
      <c r="O24" s="34">
        <f t="shared" si="1"/>
        <v>9.0800484443923607E-2</v>
      </c>
    </row>
    <row r="25" spans="2:15" x14ac:dyDescent="0.25">
      <c r="B25" s="35" t="s">
        <v>134</v>
      </c>
      <c r="C25" s="38">
        <f>(HistoricalFS!C18-HistoricalFS!C24)/HistoricalFS!C21</f>
        <v>934.01979591836732</v>
      </c>
      <c r="D25" s="38">
        <f>(HistoricalFS!D18-HistoricalFS!D24)/HistoricalFS!D21</f>
        <v>71.228770425930904</v>
      </c>
      <c r="E25" s="38">
        <f>(HistoricalFS!E18-HistoricalFS!E24)/HistoricalFS!E21</f>
        <v>68.568603809983145</v>
      </c>
      <c r="F25" s="38">
        <f>(HistoricalFS!F18-HistoricalFS!F24)/HistoricalFS!F21</f>
        <v>28.449352765456698</v>
      </c>
      <c r="G25" s="38">
        <f>(HistoricalFS!G18-HistoricalFS!G24)/HistoricalFS!G21</f>
        <v>33.04280269715624</v>
      </c>
      <c r="H25" s="38">
        <f>(HistoricalFS!H18-HistoricalFS!H24)/HistoricalFS!H21</f>
        <v>44.355887809669362</v>
      </c>
      <c r="I25" s="38">
        <f>(HistoricalFS!I18-HistoricalFS!I24)/HistoricalFS!I21</f>
        <v>41.790692799496895</v>
      </c>
      <c r="J25" s="38">
        <f>(HistoricalFS!J18-HistoricalFS!J24)/HistoricalFS!J21</f>
        <v>37.39577708549669</v>
      </c>
      <c r="K25" s="38">
        <f>(HistoricalFS!K18-HistoricalFS!K24)/HistoricalFS!K21</f>
        <v>32.811717112638306</v>
      </c>
      <c r="L25" s="38">
        <f>(HistoricalFS!L18-HistoricalFS!L24)/HistoricalFS!L21</f>
        <v>21.935820632543393</v>
      </c>
      <c r="M25" s="33"/>
      <c r="N25" s="38">
        <f t="shared" si="2"/>
        <v>131.35992210567389</v>
      </c>
      <c r="O25" s="38">
        <f t="shared" si="1"/>
        <v>39.593234942496792</v>
      </c>
    </row>
    <row r="26" spans="2:15" x14ac:dyDescent="0.25">
      <c r="M26" s="33"/>
    </row>
    <row r="27" spans="2:15" x14ac:dyDescent="0.25">
      <c r="B27" s="31" t="s">
        <v>135</v>
      </c>
      <c r="C27" s="39">
        <f>HistoricalFS!C6/HistoricalFS!C59</f>
        <v>48.522968555154868</v>
      </c>
      <c r="D27" s="39">
        <f>HistoricalFS!D6/HistoricalFS!D59</f>
        <v>10.41199364025992</v>
      </c>
      <c r="E27" s="39">
        <f>HistoricalFS!E6/HistoricalFS!E59</f>
        <v>9.7216331624899599</v>
      </c>
      <c r="F27" s="39">
        <f>HistoricalFS!F6/HistoricalFS!F59</f>
        <v>10.08746782150965</v>
      </c>
      <c r="G27" s="39">
        <f>HistoricalFS!G6/HistoricalFS!G59</f>
        <v>11.258369447755706</v>
      </c>
      <c r="H27" s="39">
        <f>HistoricalFS!H6/HistoricalFS!H59</f>
        <v>8.3441089552181449</v>
      </c>
      <c r="I27" s="39">
        <f>HistoricalFS!I6/HistoricalFS!I59</f>
        <v>7.5169136032070751</v>
      </c>
      <c r="J27" s="39">
        <f>HistoricalFS!J6/HistoricalFS!J59</f>
        <v>7.4377908707035241</v>
      </c>
      <c r="K27" s="39">
        <f>HistoricalFS!K6/HistoricalFS!K59</f>
        <v>7.2600464302880932</v>
      </c>
      <c r="L27" s="39">
        <f>HistoricalFS!L6/HistoricalFS!L59</f>
        <v>7.8600767331610131</v>
      </c>
      <c r="M27" s="33"/>
      <c r="N27" s="39">
        <f t="shared" si="2"/>
        <v>12.842136921974795</v>
      </c>
      <c r="O27" s="39">
        <f t="shared" si="1"/>
        <v>9.0328710588540524</v>
      </c>
    </row>
    <row r="28" spans="2:15" x14ac:dyDescent="0.25">
      <c r="B28" s="33" t="s">
        <v>136</v>
      </c>
      <c r="C28" s="40">
        <f>IFERROR(HistoricalFS!C6/HistoricalFS!C50,0)</f>
        <v>15.518793183361538</v>
      </c>
      <c r="D28" s="40">
        <f>IFERROR(HistoricalFS!D6/HistoricalFS!D50,0)</f>
        <v>3.5515520070927336</v>
      </c>
      <c r="E28" s="40">
        <f>IFERROR(HistoricalFS!E6/HistoricalFS!E50,0)</f>
        <v>3.4907008975438916</v>
      </c>
      <c r="F28" s="40">
        <f>IFERROR(HistoricalFS!F6/HistoricalFS!F50,0)</f>
        <v>3.5246789980746303</v>
      </c>
      <c r="G28" s="40">
        <f>IFERROR(HistoricalFS!G6/HistoricalFS!G50,0)</f>
        <v>4.1337632508472559</v>
      </c>
      <c r="H28" s="40">
        <f>IFERROR(HistoricalFS!H6/HistoricalFS!H50,0)</f>
        <v>3.3632319433451108</v>
      </c>
      <c r="I28" s="40">
        <f>IFERROR(HistoricalFS!I6/HistoricalFS!I50,0)</f>
        <v>3.8493807531491444</v>
      </c>
      <c r="J28" s="40">
        <f>IFERROR(HistoricalFS!J6/HistoricalFS!J50,0)</f>
        <v>4.3909450402827428</v>
      </c>
      <c r="K28" s="40">
        <f>IFERROR(HistoricalFS!K6/HistoricalFS!K50,0)</f>
        <v>4.0807499117622381</v>
      </c>
      <c r="L28" s="40">
        <f>IFERROR(HistoricalFS!L6/HistoricalFS!L50,0)</f>
        <v>3.9128716756201571</v>
      </c>
      <c r="M28" s="33"/>
      <c r="N28" s="40">
        <f t="shared" si="2"/>
        <v>4.9816667661079448</v>
      </c>
      <c r="O28" s="40">
        <f t="shared" si="1"/>
        <v>3.8811262143846506</v>
      </c>
    </row>
    <row r="29" spans="2:15" x14ac:dyDescent="0.25">
      <c r="B29" s="33" t="s">
        <v>137</v>
      </c>
      <c r="C29" s="40">
        <f>IFERROR(HistoricalFS!C6/HistoricalFS!C60,0)</f>
        <v>28.81986147810073</v>
      </c>
      <c r="D29" s="40">
        <f>IFERROR(HistoricalFS!D6/HistoricalFS!D60,0)</f>
        <v>5.7336635020213631</v>
      </c>
      <c r="E29" s="40">
        <f>IFERROR(HistoricalFS!E6/HistoricalFS!E60,0)</f>
        <v>6.3290398787199385</v>
      </c>
      <c r="F29" s="40">
        <f>IFERROR(HistoricalFS!F6/HistoricalFS!F60,0)</f>
        <v>6.1082492555224679</v>
      </c>
      <c r="G29" s="40">
        <f>IFERROR(HistoricalFS!G6/HistoricalFS!G60,0)</f>
        <v>5.9623548222466747</v>
      </c>
      <c r="H29" s="40">
        <f>IFERROR(HistoricalFS!H6/HistoricalFS!H60,0)</f>
        <v>5.7159979992628864</v>
      </c>
      <c r="I29" s="40">
        <f>IFERROR(HistoricalFS!I6/HistoricalFS!I60,0)</f>
        <v>4.7296236945350056</v>
      </c>
      <c r="J29" s="40">
        <f>IFERROR(HistoricalFS!J6/HistoricalFS!J60,0)</f>
        <v>5.5531458915667296</v>
      </c>
      <c r="K29" s="40">
        <f>IFERROR(HistoricalFS!K6/HistoricalFS!K60,0)</f>
        <v>5.9922797847861293</v>
      </c>
      <c r="L29" s="40">
        <f>IFERROR(HistoricalFS!L6/HistoricalFS!L60,0)</f>
        <v>5.0460273214203326</v>
      </c>
      <c r="M29" s="33"/>
      <c r="N29" s="40">
        <f t="shared" si="2"/>
        <v>7.9990243628182274</v>
      </c>
      <c r="O29" s="40">
        <f t="shared" si="1"/>
        <v>5.8480091621340193</v>
      </c>
    </row>
    <row r="30" spans="2:15" x14ac:dyDescent="0.25">
      <c r="B30" s="33" t="s">
        <v>138</v>
      </c>
      <c r="C30" s="40">
        <f>IFERROR(HistoricalFS!C6/HistoricalFS!C53,0)</f>
        <v>16.856879418092408</v>
      </c>
      <c r="D30" s="40">
        <f>IFERROR(HistoricalFS!D6/HistoricalFS!D53,0)</f>
        <v>4.5590724451682032</v>
      </c>
      <c r="E30" s="40">
        <f>IFERROR(HistoricalFS!E6/HistoricalFS!E53,0)</f>
        <v>4.50789606241828</v>
      </c>
      <c r="F30" s="40">
        <f>IFERROR(HistoricalFS!F6/HistoricalFS!F53,0)</f>
        <v>2.9615873631583485</v>
      </c>
      <c r="G30" s="40">
        <f>IFERROR(HistoricalFS!G6/HistoricalFS!G53,0)</f>
        <v>3.2222976861794139</v>
      </c>
      <c r="H30" s="40">
        <f>IFERROR(HistoricalFS!H6/HistoricalFS!H53,0)</f>
        <v>3.7061903006220001</v>
      </c>
      <c r="I30" s="40">
        <f>IFERROR(HistoricalFS!I6/HistoricalFS!I53,0)</f>
        <v>5.2728689305787571</v>
      </c>
      <c r="J30" s="40">
        <f>IFERROR(HistoricalFS!J6/HistoricalFS!J53,0)</f>
        <v>5.9767488207179316</v>
      </c>
      <c r="K30" s="40">
        <f>IFERROR(HistoricalFS!K6/HistoricalFS!K53,0)</f>
        <v>4.9666457710078333</v>
      </c>
      <c r="L30" s="40">
        <f>IFERROR(HistoricalFS!L6/HistoricalFS!L53,0)</f>
        <v>3.6773592477305019</v>
      </c>
      <c r="M30" s="33"/>
      <c r="N30" s="40">
        <f t="shared" si="2"/>
        <v>5.5707546045673677</v>
      </c>
      <c r="O30" s="40">
        <f t="shared" si="1"/>
        <v>4.533484253793242</v>
      </c>
    </row>
    <row r="31" spans="2:15" x14ac:dyDescent="0.25">
      <c r="B31" s="35" t="s">
        <v>139</v>
      </c>
      <c r="C31" s="38">
        <f>IFERROR(HistoricalFS!C6/SUM(HistoricalFS!C47:C48),0)</f>
        <v>8.8261438629724651</v>
      </c>
      <c r="D31" s="38">
        <f>IFERROR(HistoricalFS!D6/SUM(HistoricalFS!D47:D48),0)</f>
        <v>1.9808269188533763</v>
      </c>
      <c r="E31" s="38">
        <f>IFERROR(HistoricalFS!E6/SUM(HistoricalFS!E47:E48),0)</f>
        <v>2.0004863125027494</v>
      </c>
      <c r="F31" s="38">
        <f>IFERROR(HistoricalFS!F6/SUM(HistoricalFS!F47:F48),0)</f>
        <v>2.0315747237488848</v>
      </c>
      <c r="G31" s="38">
        <f>IFERROR(HistoricalFS!G6/SUM(HistoricalFS!G47:G48),0)</f>
        <v>1.995156048867935</v>
      </c>
      <c r="H31" s="38">
        <f>IFERROR(HistoricalFS!H6/SUM(HistoricalFS!H47:H48),0)</f>
        <v>1.6954785499937921</v>
      </c>
      <c r="I31" s="38">
        <f>IFERROR(HistoricalFS!I6/SUM(HistoricalFS!I47:I48),0)</f>
        <v>2.1070233919991659</v>
      </c>
      <c r="J31" s="38">
        <f>IFERROR(HistoricalFS!J6/SUM(HistoricalFS!J47:J48),0)</f>
        <v>2.1565841661857039</v>
      </c>
      <c r="K31" s="38">
        <f>IFERROR(HistoricalFS!K6/SUM(HistoricalFS!K47:K48),0)</f>
        <v>1.8952456976874572</v>
      </c>
      <c r="L31" s="38">
        <f>IFERROR(HistoricalFS!L6/SUM(HistoricalFS!L47:L48),0)</f>
        <v>1.7477294880723062</v>
      </c>
      <c r="M31" s="33"/>
      <c r="N31" s="38">
        <f t="shared" si="2"/>
        <v>2.6436249160883838</v>
      </c>
      <c r="O31" s="38">
        <f t="shared" si="1"/>
        <v>1.9978211806853423</v>
      </c>
    </row>
    <row r="32" spans="2:15" x14ac:dyDescent="0.25">
      <c r="M32" s="33"/>
    </row>
    <row r="33" spans="2:15" x14ac:dyDescent="0.25">
      <c r="B33" s="31" t="s">
        <v>140</v>
      </c>
      <c r="C33" s="41">
        <f>IFERROR(365/C27,0)</f>
        <v>7.5222108388754796</v>
      </c>
      <c r="D33" s="41">
        <f t="shared" ref="D33:L33" si="5">IFERROR(365/D27,0)</f>
        <v>35.055726368162503</v>
      </c>
      <c r="E33" s="41">
        <f t="shared" si="5"/>
        <v>37.545131964896534</v>
      </c>
      <c r="F33" s="41">
        <f t="shared" si="5"/>
        <v>36.183510714324697</v>
      </c>
      <c r="G33" s="41">
        <f t="shared" si="5"/>
        <v>32.420325313872226</v>
      </c>
      <c r="H33" s="41">
        <f t="shared" si="5"/>
        <v>43.743436472235949</v>
      </c>
      <c r="I33" s="41">
        <f t="shared" si="5"/>
        <v>48.557163121347244</v>
      </c>
      <c r="J33" s="41">
        <f>IFERROR(365/J27,0)</f>
        <v>49.073711044725229</v>
      </c>
      <c r="K33" s="41">
        <f t="shared" si="5"/>
        <v>50.275160566089667</v>
      </c>
      <c r="L33" s="41">
        <f t="shared" si="5"/>
        <v>46.437205690384069</v>
      </c>
      <c r="M33" s="33"/>
      <c r="N33" s="41">
        <f t="shared" si="2"/>
        <v>38.681358209491364</v>
      </c>
      <c r="O33" s="41">
        <f t="shared" si="1"/>
        <v>40.644284218566241</v>
      </c>
    </row>
    <row r="34" spans="2:15" x14ac:dyDescent="0.25">
      <c r="B34" s="33" t="s">
        <v>141</v>
      </c>
      <c r="C34" s="42">
        <f>IFERROR(365/C28,0)</f>
        <v>23.519870114084288</v>
      </c>
      <c r="D34" s="42">
        <f t="shared" ref="D34:L34" si="6">IFERROR(365/D28,0)</f>
        <v>102.77197103437196</v>
      </c>
      <c r="E34" s="42">
        <f t="shared" si="6"/>
        <v>104.56352770207822</v>
      </c>
      <c r="F34" s="42">
        <f t="shared" si="6"/>
        <v>103.55552951045547</v>
      </c>
      <c r="G34" s="42">
        <f t="shared" si="6"/>
        <v>88.297267610860303</v>
      </c>
      <c r="H34" s="42">
        <f t="shared" si="6"/>
        <v>108.52656199410578</v>
      </c>
      <c r="I34" s="42">
        <f t="shared" si="6"/>
        <v>94.820446042235943</v>
      </c>
      <c r="J34" s="42">
        <f t="shared" si="6"/>
        <v>83.125613427513272</v>
      </c>
      <c r="K34" s="42">
        <f t="shared" si="6"/>
        <v>89.444344273079395</v>
      </c>
      <c r="L34" s="42">
        <f t="shared" si="6"/>
        <v>93.281873329554202</v>
      </c>
      <c r="M34" s="33"/>
      <c r="N34" s="42">
        <f t="shared" si="2"/>
        <v>89.190700503833881</v>
      </c>
      <c r="O34" s="42">
        <f t="shared" si="1"/>
        <v>94.051159685895072</v>
      </c>
    </row>
    <row r="35" spans="2:15" x14ac:dyDescent="0.25">
      <c r="B35" s="33" t="s">
        <v>142</v>
      </c>
      <c r="C35" s="42">
        <f>IFERROR(365/C29,0)</f>
        <v>12.664876973033044</v>
      </c>
      <c r="D35" s="42">
        <f t="shared" ref="D35:L35" si="7">IFERROR(365/D29,0)</f>
        <v>63.659124723891068</v>
      </c>
      <c r="E35" s="42">
        <f t="shared" si="7"/>
        <v>57.670674698580349</v>
      </c>
      <c r="F35" s="42">
        <f t="shared" si="7"/>
        <v>59.755256331428114</v>
      </c>
      <c r="G35" s="42">
        <f t="shared" si="7"/>
        <v>61.217423464654587</v>
      </c>
      <c r="H35" s="42">
        <f t="shared" si="7"/>
        <v>63.855865598110604</v>
      </c>
      <c r="I35" s="42">
        <f t="shared" si="7"/>
        <v>77.173158706421162</v>
      </c>
      <c r="J35" s="42">
        <f t="shared" si="7"/>
        <v>65.728509051834251</v>
      </c>
      <c r="K35" s="42">
        <f t="shared" si="7"/>
        <v>60.911708583217838</v>
      </c>
      <c r="L35" s="42">
        <f t="shared" si="7"/>
        <v>72.334130742926988</v>
      </c>
      <c r="M35" s="33"/>
      <c r="N35" s="42">
        <f t="shared" si="2"/>
        <v>59.4970728874098</v>
      </c>
      <c r="O35" s="42">
        <f t="shared" si="1"/>
        <v>62.438274094272828</v>
      </c>
    </row>
    <row r="36" spans="2:15" x14ac:dyDescent="0.25">
      <c r="B36" s="35" t="s">
        <v>143</v>
      </c>
      <c r="C36" s="43">
        <f>SUM(C33,C35)-C34</f>
        <v>-3.3327823021757652</v>
      </c>
      <c r="D36" s="43">
        <f t="shared" ref="D36:L36" si="8">SUM(D33,D35)-D34</f>
        <v>-4.0571199423183799</v>
      </c>
      <c r="E36" s="43">
        <f t="shared" si="8"/>
        <v>-9.3477210386013354</v>
      </c>
      <c r="F36" s="43">
        <f t="shared" si="8"/>
        <v>-7.6167624647026599</v>
      </c>
      <c r="G36" s="43">
        <f t="shared" si="8"/>
        <v>5.3404811676665105</v>
      </c>
      <c r="H36" s="43">
        <f t="shared" si="8"/>
        <v>-0.92725992375922317</v>
      </c>
      <c r="I36" s="43">
        <f t="shared" si="8"/>
        <v>30.909875785532464</v>
      </c>
      <c r="J36" s="43">
        <f t="shared" si="8"/>
        <v>31.676606669046208</v>
      </c>
      <c r="K36" s="43">
        <f t="shared" si="8"/>
        <v>21.742524876228117</v>
      </c>
      <c r="L36" s="43">
        <f t="shared" si="8"/>
        <v>25.489463103756862</v>
      </c>
      <c r="M36" s="33"/>
      <c r="N36" s="43">
        <f t="shared" si="2"/>
        <v>8.9877305930672797</v>
      </c>
      <c r="O36" s="43">
        <f t="shared" si="1"/>
        <v>2.2066106219536437</v>
      </c>
    </row>
    <row r="37" spans="2:15" x14ac:dyDescent="0.25">
      <c r="M37" s="33"/>
    </row>
    <row r="38" spans="2:15" x14ac:dyDescent="0.25">
      <c r="B38" s="31" t="s">
        <v>144</v>
      </c>
      <c r="C38" s="32">
        <f>IFERROR(HistoricalFS!C78/HistoricalFS!C6,0)</f>
        <v>0.12493705395127541</v>
      </c>
      <c r="D38" s="32">
        <f>IFERROR(HistoricalFS!D78/HistoricalFS!D6,0)</f>
        <v>0.6600721418617328</v>
      </c>
      <c r="E38" s="32">
        <f>IFERROR(HistoricalFS!E78/HistoricalFS!E6,0)</f>
        <v>0.74147599787215712</v>
      </c>
      <c r="F38" s="32">
        <f>IFERROR(HistoricalFS!F78/HistoricalFS!F6,0)</f>
        <v>0.7586747074993776</v>
      </c>
      <c r="G38" s="32">
        <f>IFERROR(HistoricalFS!G78/HistoricalFS!G6,0)</f>
        <v>0.26153751005009584</v>
      </c>
      <c r="H38" s="32">
        <f>IFERROR(HistoricalFS!H78/HistoricalFS!H6,0)</f>
        <v>4.2601618677286519E-2</v>
      </c>
      <c r="I38" s="32">
        <f>IFERROR(HistoricalFS!I78/HistoricalFS!I6,0)</f>
        <v>0.4533133937751192</v>
      </c>
      <c r="J38" s="32">
        <f>IFERROR(HistoricalFS!J78/HistoricalFS!J6,0)</f>
        <v>-2.8183233933309539E-2</v>
      </c>
      <c r="K38" s="32">
        <f>IFERROR(HistoricalFS!K78/HistoricalFS!K6,0)</f>
        <v>0.27119518869420894</v>
      </c>
      <c r="L38" s="32">
        <f>IFERROR(HistoricalFS!L78/HistoricalFS!L6,0)</f>
        <v>0.54628111799754731</v>
      </c>
      <c r="M38" s="33"/>
      <c r="N38" s="32">
        <f t="shared" si="2"/>
        <v>0.38319054964454918</v>
      </c>
      <c r="O38" s="32">
        <f t="shared" si="1"/>
        <v>0.36225429123466407</v>
      </c>
    </row>
    <row r="39" spans="2:15" x14ac:dyDescent="0.25">
      <c r="B39" s="33" t="s">
        <v>145</v>
      </c>
      <c r="C39" s="34">
        <f>IFERROR(HistoricalFS!C78/HistoricalFS!C64,0)</f>
        <v>0.68140728835887399</v>
      </c>
      <c r="D39" s="34">
        <f>IFERROR(HistoricalFS!D78/HistoricalFS!D64,0)</f>
        <v>0.8014387526511082</v>
      </c>
      <c r="E39" s="34">
        <f>IFERROR(HistoricalFS!E78/HistoricalFS!E64,0)</f>
        <v>0.90638414122009847</v>
      </c>
      <c r="F39" s="34">
        <f>IFERROR(HistoricalFS!F78/HistoricalFS!F64,0)</f>
        <v>0.89834105080731919</v>
      </c>
      <c r="G39" s="34">
        <f>IFERROR(HistoricalFS!G78/HistoricalFS!G64,0)</f>
        <v>0.32755049117082258</v>
      </c>
      <c r="H39" s="34">
        <f>IFERROR(HistoricalFS!H78/HistoricalFS!H64,0)</f>
        <v>4.5442620953518829E-2</v>
      </c>
      <c r="I39" s="34">
        <f>IFERROR(HistoricalFS!I78/HistoricalFS!I64,0)</f>
        <v>0.57460375121469542</v>
      </c>
      <c r="J39" s="34">
        <f>IFERROR(HistoricalFS!J78/HistoricalFS!J64,0)</f>
        <v>-3.7704626148158234E-2</v>
      </c>
      <c r="K39" s="34">
        <f>IFERROR(HistoricalFS!K78/HistoricalFS!K64,0)</f>
        <v>0.32193150878723187</v>
      </c>
      <c r="L39" s="34">
        <f>IFERROR(HistoricalFS!L78/HistoricalFS!L64,0)</f>
        <v>0.61017451676398649</v>
      </c>
      <c r="M39" s="33"/>
      <c r="N39" s="34">
        <f t="shared" si="2"/>
        <v>0.51295694957794979</v>
      </c>
      <c r="O39" s="34">
        <f t="shared" si="1"/>
        <v>0.59238913398934101</v>
      </c>
    </row>
    <row r="40" spans="2:15" x14ac:dyDescent="0.25">
      <c r="B40" s="35" t="s">
        <v>146</v>
      </c>
      <c r="C40" s="36">
        <f>IFERROR(HistoricalFS!C78/HistoricalFS!C49,0)</f>
        <v>22.255560023508306</v>
      </c>
      <c r="D40" s="36">
        <f>IFERROR(HistoricalFS!D78/HistoricalFS!D49,0)</f>
        <v>17.742799014883818</v>
      </c>
      <c r="E40" s="36">
        <f>IFERROR(HistoricalFS!E78/HistoricalFS!E49,0)</f>
        <v>23.386386217498082</v>
      </c>
      <c r="F40" s="36">
        <f>IFERROR(HistoricalFS!F78/HistoricalFS!F49,0)</f>
        <v>11.061685359199759</v>
      </c>
      <c r="G40" s="36">
        <f>IFERROR(HistoricalFS!G78/HistoricalFS!G49,0)</f>
        <v>4.7259722843093428</v>
      </c>
      <c r="H40" s="36">
        <f>IFERROR(HistoricalFS!H78/HistoricalFS!H49,0)</f>
        <v>0.84620169789227173</v>
      </c>
      <c r="I40" s="36">
        <f>IFERROR(HistoricalFS!I78/HistoricalFS!I49,0)</f>
        <v>8.3131679774148015</v>
      </c>
      <c r="J40" s="36">
        <f>IFERROR(HistoricalFS!J78/HistoricalFS!J49,0)</f>
        <v>-0.50294418975277089</v>
      </c>
      <c r="K40" s="36">
        <f>IFERROR(HistoricalFS!K78/HistoricalFS!K49,0)</f>
        <v>3.8902674609397101</v>
      </c>
      <c r="L40" s="36">
        <f>IFERROR(HistoricalFS!L78/HistoricalFS!L49,0)</f>
        <v>8.0871854655960593</v>
      </c>
      <c r="M40" s="35"/>
      <c r="N40" s="36">
        <f t="shared" si="2"/>
        <v>9.98062813114894</v>
      </c>
      <c r="O40" s="36">
        <f t="shared" si="1"/>
        <v>8.2001767215054304</v>
      </c>
    </row>
  </sheetData>
  <mergeCells count="1">
    <mergeCell ref="B2:O2"/>
  </mergeCells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9"/>
  <sheetViews>
    <sheetView topLeftCell="A6" workbookViewId="0">
      <selection activeCell="I28" sqref="I28"/>
    </sheetView>
  </sheetViews>
  <sheetFormatPr defaultRowHeight="15" x14ac:dyDescent="0.25"/>
  <cols>
    <col min="2" max="2" width="28" bestFit="1" customWidth="1"/>
  </cols>
  <sheetData>
    <row r="2" spans="2:14" x14ac:dyDescent="0.25">
      <c r="B2" s="25"/>
      <c r="C2" s="25">
        <v>42064</v>
      </c>
      <c r="D2" s="25">
        <v>42430</v>
      </c>
      <c r="E2" s="25">
        <v>42795</v>
      </c>
      <c r="F2" s="25">
        <v>43160</v>
      </c>
      <c r="G2" s="25">
        <v>43525</v>
      </c>
      <c r="H2" s="25">
        <v>43891</v>
      </c>
      <c r="I2" s="25">
        <v>44256</v>
      </c>
      <c r="J2" s="25">
        <v>44621</v>
      </c>
      <c r="K2" s="25">
        <v>44986</v>
      </c>
      <c r="L2" s="25">
        <v>45352</v>
      </c>
      <c r="M2" s="25">
        <v>45717</v>
      </c>
    </row>
    <row r="3" spans="2:14" x14ac:dyDescent="0.25">
      <c r="B3" t="s">
        <v>115</v>
      </c>
      <c r="C3" s="26">
        <v>4995</v>
      </c>
      <c r="D3" s="26">
        <v>6449</v>
      </c>
      <c r="E3" s="26">
        <v>8482</v>
      </c>
      <c r="F3" s="26">
        <v>10282</v>
      </c>
      <c r="G3" s="26">
        <v>11788</v>
      </c>
      <c r="H3" s="26">
        <v>6601</v>
      </c>
      <c r="I3" s="26">
        <v>3496</v>
      </c>
      <c r="J3" s="26">
        <v>8856</v>
      </c>
      <c r="K3" s="26">
        <v>1840</v>
      </c>
      <c r="L3" s="26">
        <v>9251</v>
      </c>
      <c r="M3" s="26">
        <v>16801</v>
      </c>
      <c r="N3" s="26"/>
    </row>
    <row r="4" spans="2:14" x14ac:dyDescent="0.25">
      <c r="B4" t="s">
        <v>86</v>
      </c>
      <c r="C4" s="26">
        <v>5111</v>
      </c>
      <c r="D4" s="26">
        <v>6779</v>
      </c>
      <c r="E4" s="26">
        <v>8935</v>
      </c>
      <c r="F4" s="26">
        <v>10413</v>
      </c>
      <c r="G4" s="26">
        <v>12036</v>
      </c>
      <c r="H4" s="26">
        <v>11060</v>
      </c>
      <c r="I4" s="26">
        <v>7503</v>
      </c>
      <c r="J4" s="26">
        <v>5531</v>
      </c>
      <c r="K4" s="26">
        <v>5832</v>
      </c>
      <c r="L4" s="26">
        <v>11112</v>
      </c>
      <c r="M4" s="26">
        <v>18676</v>
      </c>
      <c r="N4" s="26"/>
    </row>
    <row r="5" spans="2:14" x14ac:dyDescent="0.25">
      <c r="B5" t="s">
        <v>42</v>
      </c>
      <c r="C5">
        <v>46</v>
      </c>
      <c r="D5">
        <v>345</v>
      </c>
      <c r="E5">
        <v>-204</v>
      </c>
      <c r="F5">
        <v>122</v>
      </c>
      <c r="G5">
        <v>-262</v>
      </c>
      <c r="H5">
        <v>-851</v>
      </c>
      <c r="I5">
        <v>340</v>
      </c>
      <c r="J5">
        <v>696</v>
      </c>
      <c r="K5">
        <v>-764</v>
      </c>
      <c r="L5" s="26">
        <v>-1258</v>
      </c>
      <c r="M5" s="26">
        <v>-1316</v>
      </c>
      <c r="N5" s="26"/>
    </row>
    <row r="6" spans="2:14" x14ac:dyDescent="0.25">
      <c r="B6" t="s">
        <v>29</v>
      </c>
      <c r="C6">
        <v>124</v>
      </c>
      <c r="D6">
        <v>-982</v>
      </c>
      <c r="E6">
        <v>-450</v>
      </c>
      <c r="F6">
        <v>-131</v>
      </c>
      <c r="G6">
        <v>104</v>
      </c>
      <c r="H6">
        <v>-162</v>
      </c>
      <c r="I6">
        <v>109</v>
      </c>
      <c r="J6">
        <v>165</v>
      </c>
      <c r="K6">
        <v>-483</v>
      </c>
      <c r="L6">
        <v>-751</v>
      </c>
      <c r="M6">
        <v>125</v>
      </c>
      <c r="N6" s="26"/>
    </row>
    <row r="7" spans="2:14" x14ac:dyDescent="0.25">
      <c r="B7" t="s">
        <v>87</v>
      </c>
      <c r="C7">
        <v>813</v>
      </c>
      <c r="D7">
        <v>712</v>
      </c>
      <c r="E7" s="26">
        <v>1789</v>
      </c>
      <c r="F7">
        <v>979</v>
      </c>
      <c r="G7" s="26">
        <v>2128</v>
      </c>
      <c r="H7">
        <v>-858</v>
      </c>
      <c r="I7" s="26">
        <v>-2155</v>
      </c>
      <c r="J7" s="26">
        <v>2680</v>
      </c>
      <c r="K7">
        <v>-396</v>
      </c>
      <c r="L7" s="26">
        <v>2008</v>
      </c>
      <c r="M7" s="26">
        <v>3321</v>
      </c>
      <c r="N7" s="26"/>
    </row>
    <row r="8" spans="2:14" x14ac:dyDescent="0.25">
      <c r="B8" t="s">
        <v>88</v>
      </c>
      <c r="C8">
        <v>-563</v>
      </c>
      <c r="D8">
        <v>23</v>
      </c>
      <c r="E8">
        <v>-1</v>
      </c>
      <c r="F8">
        <v>1</v>
      </c>
      <c r="G8">
        <v>0</v>
      </c>
      <c r="H8">
        <v>-13</v>
      </c>
      <c r="I8">
        <v>-1</v>
      </c>
      <c r="J8">
        <v>-6</v>
      </c>
      <c r="K8">
        <v>-8</v>
      </c>
      <c r="L8">
        <v>1</v>
      </c>
      <c r="M8">
        <v>-3</v>
      </c>
    </row>
    <row r="9" spans="2:14" x14ac:dyDescent="0.25">
      <c r="B9" t="s">
        <v>89</v>
      </c>
      <c r="C9">
        <v>321</v>
      </c>
      <c r="D9">
        <v>648</v>
      </c>
      <c r="E9">
        <v>325</v>
      </c>
      <c r="F9" s="26">
        <v>1222</v>
      </c>
      <c r="G9">
        <v>839</v>
      </c>
      <c r="H9">
        <v>569</v>
      </c>
      <c r="I9">
        <v>-863</v>
      </c>
      <c r="J9">
        <v>801</v>
      </c>
      <c r="K9" s="26">
        <v>-1162</v>
      </c>
      <c r="L9">
        <v>374</v>
      </c>
      <c r="M9">
        <v>-406</v>
      </c>
    </row>
    <row r="10" spans="2:14" x14ac:dyDescent="0.25">
      <c r="B10" t="s">
        <v>90</v>
      </c>
      <c r="C10">
        <v>742</v>
      </c>
      <c r="D10">
        <v>745</v>
      </c>
      <c r="E10" s="26">
        <v>1460</v>
      </c>
      <c r="F10" s="26">
        <v>2192</v>
      </c>
      <c r="G10" s="26">
        <v>2808</v>
      </c>
      <c r="H10" s="26">
        <v>-1315</v>
      </c>
      <c r="I10" s="26">
        <v>-2570</v>
      </c>
      <c r="J10" s="26">
        <v>4336</v>
      </c>
      <c r="K10" s="26">
        <v>-2813</v>
      </c>
      <c r="L10">
        <v>373</v>
      </c>
      <c r="M10" s="26">
        <v>1722</v>
      </c>
    </row>
    <row r="11" spans="2:14" x14ac:dyDescent="0.25">
      <c r="B11" t="s">
        <v>91</v>
      </c>
      <c r="C11">
        <v>-858</v>
      </c>
      <c r="D11" s="26">
        <v>-1075</v>
      </c>
      <c r="E11" s="26">
        <v>-1912</v>
      </c>
      <c r="F11" s="26">
        <v>-2323</v>
      </c>
      <c r="G11" s="26">
        <v>-3056</v>
      </c>
      <c r="H11" s="26">
        <v>-3144</v>
      </c>
      <c r="I11" s="26">
        <v>-1438</v>
      </c>
      <c r="J11" s="26">
        <v>-1011</v>
      </c>
      <c r="K11" s="26">
        <v>-1178</v>
      </c>
      <c r="L11" s="26">
        <v>-2233</v>
      </c>
      <c r="M11" s="26">
        <v>-3597</v>
      </c>
      <c r="N11" s="26"/>
    </row>
    <row r="12" spans="2:14" x14ac:dyDescent="0.25">
      <c r="B12" t="s">
        <v>116</v>
      </c>
      <c r="C12" s="26">
        <v>-4997</v>
      </c>
      <c r="D12" s="26">
        <v>-4491</v>
      </c>
      <c r="E12" s="26">
        <v>-7230</v>
      </c>
      <c r="F12" s="26">
        <v>-9173</v>
      </c>
      <c r="G12" s="26">
        <v>-8302</v>
      </c>
      <c r="H12" s="26">
        <v>-3540</v>
      </c>
      <c r="I12">
        <v>-557</v>
      </c>
      <c r="J12" s="26">
        <v>-7291</v>
      </c>
      <c r="K12">
        <v>-239</v>
      </c>
      <c r="L12" s="26">
        <v>-8036</v>
      </c>
      <c r="M12" s="26">
        <v>-11865</v>
      </c>
      <c r="N12" s="26"/>
    </row>
    <row r="13" spans="2:14" x14ac:dyDescent="0.25">
      <c r="B13" t="s">
        <v>94</v>
      </c>
      <c r="C13" s="26">
        <v>-3545</v>
      </c>
      <c r="D13" s="26">
        <v>-3058</v>
      </c>
      <c r="E13" s="26">
        <v>-2469</v>
      </c>
      <c r="F13" s="26">
        <v>-3391</v>
      </c>
      <c r="G13" s="26">
        <v>-3912</v>
      </c>
      <c r="H13" s="26">
        <v>-4872</v>
      </c>
      <c r="I13" s="26">
        <v>-3437</v>
      </c>
      <c r="J13" s="26">
        <v>-2370</v>
      </c>
      <c r="K13" s="26">
        <v>-3459</v>
      </c>
      <c r="L13" s="26">
        <v>-6347</v>
      </c>
      <c r="M13" s="26">
        <v>-9200</v>
      </c>
      <c r="N13" s="26"/>
    </row>
    <row r="14" spans="2:14" x14ac:dyDescent="0.25">
      <c r="B14" t="s">
        <v>95</v>
      </c>
      <c r="C14">
        <v>9</v>
      </c>
      <c r="D14">
        <v>16</v>
      </c>
      <c r="E14">
        <v>12</v>
      </c>
      <c r="F14">
        <v>16</v>
      </c>
      <c r="G14">
        <v>26</v>
      </c>
      <c r="H14">
        <v>170</v>
      </c>
      <c r="I14">
        <v>37</v>
      </c>
      <c r="J14">
        <v>42</v>
      </c>
      <c r="K14">
        <v>136</v>
      </c>
      <c r="L14">
        <v>100</v>
      </c>
      <c r="M14">
        <v>45</v>
      </c>
    </row>
    <row r="15" spans="2:14" x14ac:dyDescent="0.25">
      <c r="B15" t="s">
        <v>96</v>
      </c>
      <c r="C15" s="26">
        <v>-13100</v>
      </c>
      <c r="D15" s="26">
        <v>-17354</v>
      </c>
      <c r="E15" s="26">
        <v>-12044</v>
      </c>
      <c r="F15" s="26">
        <v>-17716</v>
      </c>
      <c r="G15" s="26">
        <v>-47069</v>
      </c>
      <c r="H15" s="26">
        <v>-52957</v>
      </c>
      <c r="I15" s="26">
        <v>-44205</v>
      </c>
      <c r="J15" s="26">
        <v>-44869</v>
      </c>
      <c r="K15" s="26">
        <v>-60525</v>
      </c>
      <c r="L15" s="26">
        <v>-66597</v>
      </c>
      <c r="M15" s="26">
        <v>-65736</v>
      </c>
      <c r="N15" s="26"/>
    </row>
    <row r="16" spans="2:14" x14ac:dyDescent="0.25">
      <c r="B16" t="s">
        <v>97</v>
      </c>
      <c r="C16" s="26">
        <v>10450</v>
      </c>
      <c r="D16" s="26">
        <v>15270</v>
      </c>
      <c r="E16" s="26">
        <v>7378</v>
      </c>
      <c r="F16" s="26">
        <v>11839</v>
      </c>
      <c r="G16" s="26">
        <v>42564</v>
      </c>
      <c r="H16" s="26">
        <v>53986</v>
      </c>
      <c r="I16" s="26">
        <v>46969</v>
      </c>
      <c r="J16" s="26">
        <v>42920</v>
      </c>
      <c r="K16" s="26">
        <v>63579</v>
      </c>
      <c r="L16" s="26">
        <v>61605</v>
      </c>
      <c r="M16" s="26">
        <v>61933</v>
      </c>
      <c r="N16" s="26"/>
    </row>
    <row r="17" spans="2:14" x14ac:dyDescent="0.25">
      <c r="B17" t="s">
        <v>98</v>
      </c>
      <c r="C17">
        <v>195</v>
      </c>
      <c r="D17">
        <v>152</v>
      </c>
      <c r="E17">
        <v>67</v>
      </c>
      <c r="F17">
        <v>36</v>
      </c>
      <c r="G17">
        <v>68</v>
      </c>
      <c r="H17">
        <v>124</v>
      </c>
      <c r="I17">
        <v>96</v>
      </c>
      <c r="J17">
        <v>67</v>
      </c>
      <c r="K17">
        <v>174</v>
      </c>
      <c r="L17">
        <v>194</v>
      </c>
      <c r="M17">
        <v>372</v>
      </c>
    </row>
    <row r="18" spans="2:14" x14ac:dyDescent="0.25">
      <c r="B18" t="s">
        <v>99</v>
      </c>
      <c r="C18">
        <v>54</v>
      </c>
      <c r="D18">
        <v>54</v>
      </c>
      <c r="E18">
        <v>11</v>
      </c>
      <c r="F18">
        <v>13</v>
      </c>
      <c r="G18">
        <v>20</v>
      </c>
      <c r="H18">
        <v>9</v>
      </c>
      <c r="I18">
        <v>4</v>
      </c>
      <c r="J18">
        <v>3</v>
      </c>
      <c r="K18">
        <v>3</v>
      </c>
      <c r="L18">
        <v>6</v>
      </c>
      <c r="M18">
        <v>6</v>
      </c>
    </row>
    <row r="19" spans="2:14" x14ac:dyDescent="0.25">
      <c r="B19" t="s">
        <v>100</v>
      </c>
      <c r="C19">
        <v>0</v>
      </c>
      <c r="D19">
        <v>0</v>
      </c>
      <c r="E19">
        <v>0</v>
      </c>
      <c r="F19">
        <v>22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2:14" x14ac:dyDescent="0.25">
      <c r="B20" t="s">
        <v>101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-15</v>
      </c>
      <c r="J20">
        <v>-65</v>
      </c>
      <c r="K20">
        <v>-146</v>
      </c>
      <c r="L20">
        <v>0</v>
      </c>
      <c r="M20">
        <v>-80</v>
      </c>
    </row>
    <row r="21" spans="2:14" x14ac:dyDescent="0.25">
      <c r="B21" t="s">
        <v>102</v>
      </c>
      <c r="C21">
        <v>940</v>
      </c>
      <c r="D21">
        <v>428</v>
      </c>
      <c r="E21">
        <v>-186</v>
      </c>
      <c r="F21">
        <v>7</v>
      </c>
      <c r="G21">
        <v>0</v>
      </c>
      <c r="H21">
        <v>0</v>
      </c>
      <c r="I21">
        <v>-5</v>
      </c>
      <c r="J21" s="26">
        <v>-3019</v>
      </c>
      <c r="K21">
        <v>-1</v>
      </c>
      <c r="L21" s="26">
        <v>3003</v>
      </c>
      <c r="M21">
        <v>795</v>
      </c>
    </row>
    <row r="22" spans="2:14" x14ac:dyDescent="0.25">
      <c r="B22" t="s">
        <v>117</v>
      </c>
      <c r="C22">
        <v>-74</v>
      </c>
      <c r="D22" s="26">
        <v>-2004</v>
      </c>
      <c r="E22" s="26">
        <v>-1237</v>
      </c>
      <c r="F22" s="26">
        <v>-1129</v>
      </c>
      <c r="G22" s="26">
        <v>-3436</v>
      </c>
      <c r="H22" s="26">
        <v>-2948</v>
      </c>
      <c r="I22" s="26">
        <v>-3104</v>
      </c>
      <c r="J22" s="26">
        <v>-1545</v>
      </c>
      <c r="K22" s="26">
        <v>-1607</v>
      </c>
      <c r="L22" s="26">
        <v>-1213</v>
      </c>
      <c r="M22" s="26">
        <v>-4062</v>
      </c>
      <c r="N22" s="26"/>
    </row>
    <row r="23" spans="2:14" x14ac:dyDescent="0.25">
      <c r="B23" t="s">
        <v>105</v>
      </c>
      <c r="C23" s="26">
        <v>1264</v>
      </c>
      <c r="D23">
        <v>92</v>
      </c>
      <c r="E23">
        <v>77</v>
      </c>
      <c r="F23">
        <v>484</v>
      </c>
      <c r="G23">
        <v>10</v>
      </c>
      <c r="H23">
        <v>39</v>
      </c>
      <c r="I23">
        <v>0</v>
      </c>
      <c r="J23">
        <v>380</v>
      </c>
      <c r="K23">
        <v>0</v>
      </c>
      <c r="L23">
        <v>831</v>
      </c>
      <c r="M23">
        <v>0</v>
      </c>
    </row>
    <row r="24" spans="2:14" x14ac:dyDescent="0.25">
      <c r="B24" t="s">
        <v>106</v>
      </c>
      <c r="C24">
        <v>-885</v>
      </c>
      <c r="D24" s="26">
        <v>-1449</v>
      </c>
      <c r="E24">
        <v>-313</v>
      </c>
      <c r="F24">
        <v>-231</v>
      </c>
      <c r="G24">
        <v>-373</v>
      </c>
      <c r="H24">
        <v>0</v>
      </c>
      <c r="I24">
        <v>-46</v>
      </c>
      <c r="J24">
        <v>0</v>
      </c>
      <c r="K24">
        <v>-110</v>
      </c>
      <c r="L24">
        <v>0</v>
      </c>
      <c r="M24" s="26">
        <v>-1183</v>
      </c>
    </row>
    <row r="25" spans="2:14" x14ac:dyDescent="0.25">
      <c r="B25" t="s">
        <v>107</v>
      </c>
      <c r="C25">
        <v>-170</v>
      </c>
      <c r="D25">
        <v>-222</v>
      </c>
      <c r="E25">
        <v>-92</v>
      </c>
      <c r="F25">
        <v>-110</v>
      </c>
      <c r="G25">
        <v>-346</v>
      </c>
      <c r="H25">
        <v>-73</v>
      </c>
      <c r="I25">
        <v>-136</v>
      </c>
      <c r="J25">
        <v>-102</v>
      </c>
      <c r="K25">
        <v>-130</v>
      </c>
      <c r="L25">
        <v>-186</v>
      </c>
      <c r="M25">
        <v>-147</v>
      </c>
    </row>
    <row r="26" spans="2:14" x14ac:dyDescent="0.25">
      <c r="B26" t="s">
        <v>108</v>
      </c>
      <c r="C26">
        <v>-242</v>
      </c>
      <c r="D26">
        <v>-362</v>
      </c>
      <c r="E26">
        <v>-755</v>
      </c>
      <c r="F26" s="26">
        <v>-1057</v>
      </c>
      <c r="G26" s="26">
        <v>-2266</v>
      </c>
      <c r="H26" s="26">
        <v>-2417</v>
      </c>
      <c r="I26" s="26">
        <v>-2417</v>
      </c>
      <c r="J26" s="26">
        <v>-1812</v>
      </c>
      <c r="K26" s="26">
        <v>-1359</v>
      </c>
      <c r="L26" s="26">
        <v>-1812</v>
      </c>
      <c r="M26" s="26">
        <v>-2719</v>
      </c>
      <c r="N26" s="26"/>
    </row>
    <row r="27" spans="2:14" x14ac:dyDescent="0.25">
      <c r="B27" t="s">
        <v>109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-10</v>
      </c>
      <c r="J27">
        <v>-11</v>
      </c>
      <c r="K27">
        <v>-8</v>
      </c>
      <c r="L27">
        <v>-46</v>
      </c>
      <c r="M27">
        <v>-13</v>
      </c>
    </row>
    <row r="28" spans="2:14" x14ac:dyDescent="0.25">
      <c r="B28" t="s">
        <v>110</v>
      </c>
      <c r="C28">
        <v>-41</v>
      </c>
      <c r="D28">
        <v>-62</v>
      </c>
      <c r="E28">
        <v>-154</v>
      </c>
      <c r="F28">
        <v>-215</v>
      </c>
      <c r="G28">
        <v>-461</v>
      </c>
      <c r="H28">
        <v>-497</v>
      </c>
      <c r="I28">
        <v>-497</v>
      </c>
      <c r="J28">
        <v>0</v>
      </c>
      <c r="K28">
        <v>0</v>
      </c>
      <c r="L28">
        <v>0</v>
      </c>
      <c r="M28">
        <v>0</v>
      </c>
    </row>
    <row r="29" spans="2:14" x14ac:dyDescent="0.25">
      <c r="B29" t="s">
        <v>20</v>
      </c>
      <c r="C29">
        <v>-76</v>
      </c>
      <c r="D29">
        <v>-45</v>
      </c>
      <c r="E29">
        <v>16</v>
      </c>
      <c r="F29">
        <v>-20</v>
      </c>
      <c r="G29">
        <v>50</v>
      </c>
      <c r="H29">
        <v>113</v>
      </c>
      <c r="I29">
        <v>-165</v>
      </c>
      <c r="J29">
        <v>20</v>
      </c>
      <c r="K29">
        <v>-6</v>
      </c>
      <c r="L29">
        <v>2</v>
      </c>
      <c r="M29">
        <v>874</v>
      </c>
      <c r="N29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2"/>
  <sheetViews>
    <sheetView showGridLines="0" topLeftCell="A19" workbookViewId="0">
      <selection activeCell="Q32" sqref="Q32"/>
    </sheetView>
  </sheetViews>
  <sheetFormatPr defaultRowHeight="15" x14ac:dyDescent="0.25"/>
  <cols>
    <col min="1" max="1" width="1.85546875" customWidth="1"/>
    <col min="6" max="6" width="11.42578125" bestFit="1" customWidth="1"/>
  </cols>
  <sheetData>
    <row r="2" spans="2:11" ht="18.75" x14ac:dyDescent="0.3">
      <c r="B2" s="94" t="s">
        <v>219</v>
      </c>
      <c r="C2" s="95"/>
      <c r="D2" s="95"/>
      <c r="E2" s="95"/>
      <c r="F2" s="95"/>
      <c r="G2" s="95"/>
      <c r="H2" s="95"/>
      <c r="I2" s="95"/>
      <c r="J2" s="95"/>
      <c r="K2" s="95"/>
    </row>
    <row r="4" spans="2:11" x14ac:dyDescent="0.25">
      <c r="B4" s="96" t="s">
        <v>220</v>
      </c>
    </row>
    <row r="6" spans="2:11" x14ac:dyDescent="0.25">
      <c r="B6" s="10" t="s">
        <v>221</v>
      </c>
    </row>
    <row r="7" spans="2:11" x14ac:dyDescent="0.25">
      <c r="B7" s="97"/>
      <c r="C7" s="97"/>
      <c r="D7" s="97"/>
      <c r="E7" s="97"/>
      <c r="F7" s="97"/>
      <c r="G7" s="98"/>
      <c r="H7" s="98" t="s">
        <v>222</v>
      </c>
      <c r="I7" s="98" t="s">
        <v>222</v>
      </c>
      <c r="J7" s="98" t="s">
        <v>223</v>
      </c>
      <c r="K7" s="99" t="s">
        <v>224</v>
      </c>
    </row>
    <row r="8" spans="2:11" ht="17.25" x14ac:dyDescent="0.25">
      <c r="B8" s="100" t="s">
        <v>225</v>
      </c>
      <c r="C8" s="100"/>
      <c r="D8" s="100" t="s">
        <v>226</v>
      </c>
      <c r="E8" s="101" t="s">
        <v>227</v>
      </c>
      <c r="F8" s="101" t="s">
        <v>228</v>
      </c>
      <c r="G8" s="101" t="s">
        <v>229</v>
      </c>
      <c r="H8" s="102" t="s">
        <v>230</v>
      </c>
      <c r="I8" s="102" t="s">
        <v>231</v>
      </c>
      <c r="J8" s="102" t="s">
        <v>232</v>
      </c>
      <c r="K8" s="102" t="s">
        <v>233</v>
      </c>
    </row>
    <row r="10" spans="2:11" x14ac:dyDescent="0.25">
      <c r="B10" s="103" t="s">
        <v>234</v>
      </c>
      <c r="C10" s="103"/>
      <c r="D10" s="103" t="s">
        <v>235</v>
      </c>
      <c r="E10" s="104">
        <f>'[1]Beta - Comps'!F3</f>
        <v>1609.19</v>
      </c>
      <c r="F10" s="104">
        <f>'[1]Beta - Comps'!E3</f>
        <v>287487.46000000002</v>
      </c>
      <c r="G10" s="105">
        <v>0.3</v>
      </c>
      <c r="H10" s="106">
        <f>E10/F10</f>
        <v>5.5974267538486718E-3</v>
      </c>
      <c r="I10" s="106">
        <f>E10/(E10+F10)</f>
        <v>5.5662699654250572E-3</v>
      </c>
      <c r="J10" s="107">
        <f>'[1] Beta Regression'!N7</f>
        <v>1.2421196304007405</v>
      </c>
      <c r="K10" s="108">
        <f>J10/(1+(1-G10)*H10)</f>
        <v>1.2372717537892315</v>
      </c>
    </row>
    <row r="11" spans="2:11" x14ac:dyDescent="0.25">
      <c r="B11" s="103" t="s">
        <v>236</v>
      </c>
      <c r="C11" s="103"/>
      <c r="D11" s="103" t="s">
        <v>235</v>
      </c>
      <c r="E11" s="104">
        <f>'[1]Beta - Comps'!F4</f>
        <v>1870.76</v>
      </c>
      <c r="F11" s="104">
        <f>'[1]Beta - Comps'!E4</f>
        <v>53854.19</v>
      </c>
      <c r="G11" s="105">
        <v>0.3</v>
      </c>
      <c r="H11" s="106">
        <f>E11/F11</f>
        <v>3.4737501390328218E-2</v>
      </c>
      <c r="I11" s="106">
        <f>E11/(E11+F11)</f>
        <v>3.3571317695215513E-2</v>
      </c>
      <c r="J11" s="107">
        <v>0.97599999999999998</v>
      </c>
      <c r="K11" s="108">
        <f>J11/(1+(1-G11)*H11)</f>
        <v>0.9528307288619865</v>
      </c>
    </row>
    <row r="12" spans="2:11" x14ac:dyDescent="0.25">
      <c r="B12" s="103" t="s">
        <v>237</v>
      </c>
      <c r="C12" s="103"/>
      <c r="D12" s="103" t="s">
        <v>235</v>
      </c>
      <c r="E12" s="104">
        <f>'[1]Beta - Comps'!F5</f>
        <v>801.24</v>
      </c>
      <c r="F12" s="104">
        <f>'[1]Beta - Comps'!E5</f>
        <v>4998.0600000000004</v>
      </c>
      <c r="G12" s="105">
        <v>0.3</v>
      </c>
      <c r="H12" s="106">
        <f>E12/F12</f>
        <v>0.1603102003577388</v>
      </c>
      <c r="I12" s="106">
        <f>E12/(E12+F12)</f>
        <v>0.13816150225027157</v>
      </c>
      <c r="J12" s="107">
        <v>1.81</v>
      </c>
      <c r="K12" s="108">
        <f>J12/(1+(1-G12)*H12)</f>
        <v>1.6273800632064312</v>
      </c>
    </row>
    <row r="13" spans="2:11" x14ac:dyDescent="0.25">
      <c r="B13" s="103" t="s">
        <v>238</v>
      </c>
      <c r="C13" s="103"/>
      <c r="D13" s="103" t="s">
        <v>235</v>
      </c>
      <c r="E13" s="104">
        <f>'[1]Beta - Comps'!F6</f>
        <v>1963.34</v>
      </c>
      <c r="F13" s="104">
        <f>'[1]Beta - Comps'!E6</f>
        <v>3818.73</v>
      </c>
      <c r="G13" s="105">
        <v>0.3</v>
      </c>
      <c r="H13" s="106">
        <f>E13/F13</f>
        <v>0.51413428024500285</v>
      </c>
      <c r="I13" s="106">
        <f>E13/(E13+F13)</f>
        <v>0.33955659478352906</v>
      </c>
      <c r="J13" s="107">
        <v>1.87</v>
      </c>
      <c r="K13" s="108">
        <f>J13/(1+(1-G13)*H13)</f>
        <v>1.3751071813425129</v>
      </c>
    </row>
    <row r="14" spans="2:11" x14ac:dyDescent="0.25">
      <c r="B14" s="103" t="s">
        <v>239</v>
      </c>
      <c r="C14" s="103"/>
      <c r="D14" s="103" t="s">
        <v>235</v>
      </c>
      <c r="E14" s="104">
        <f>'[1]Beta - Comps'!F7</f>
        <v>3323.79</v>
      </c>
      <c r="F14" s="104">
        <f>'[1]Beta - Comps'!E7</f>
        <v>3279.84</v>
      </c>
      <c r="G14" s="105">
        <v>0.3</v>
      </c>
      <c r="H14" s="106">
        <f>E14/F14</f>
        <v>1.0134000439045807</v>
      </c>
      <c r="I14" s="106">
        <f>E14/(E14+F14)</f>
        <v>0.50332771521117925</v>
      </c>
      <c r="J14" s="107">
        <v>1.28</v>
      </c>
      <c r="K14" s="108">
        <f>J14/(1+(1-G14)*H14)</f>
        <v>0.74880949641781414</v>
      </c>
    </row>
    <row r="16" spans="2:11" x14ac:dyDescent="0.25">
      <c r="F16" s="109" t="s">
        <v>240</v>
      </c>
      <c r="G16" s="110">
        <f>AVERAGE(G10:G14)</f>
        <v>0.3</v>
      </c>
      <c r="H16" s="111">
        <f>AVERAGE(H10:H14)</f>
        <v>0.34563589053029986</v>
      </c>
      <c r="I16" s="111">
        <f>AVERAGE(I10:I14)</f>
        <v>0.2040366799811241</v>
      </c>
      <c r="J16" s="112">
        <f>AVERAGE(J10:J14)</f>
        <v>1.435623926080148</v>
      </c>
      <c r="K16" s="112">
        <f>AVERAGE(K10:K14)</f>
        <v>1.1882798447235952</v>
      </c>
    </row>
    <row r="17" spans="2:11" x14ac:dyDescent="0.25">
      <c r="F17" s="113" t="s">
        <v>148</v>
      </c>
      <c r="G17" s="114">
        <f>MEDIAN(G10:G14)</f>
        <v>0.3</v>
      </c>
      <c r="H17" s="115">
        <f>MEDIAN(H10:H14)</f>
        <v>0.1603102003577388</v>
      </c>
      <c r="I17" s="115">
        <f>MEDIAN(I10:I14)</f>
        <v>0.13816150225027157</v>
      </c>
      <c r="J17" s="116">
        <f>MEDIAN(J10:J14)</f>
        <v>1.28</v>
      </c>
      <c r="K17" s="116">
        <f>MEDIAN(K10:K14)</f>
        <v>1.2372717537892315</v>
      </c>
    </row>
    <row r="19" spans="2:11" x14ac:dyDescent="0.25">
      <c r="B19" s="113" t="s">
        <v>241</v>
      </c>
      <c r="C19" s="113"/>
      <c r="D19" s="100"/>
      <c r="E19" s="100"/>
      <c r="G19" s="113" t="s">
        <v>242</v>
      </c>
      <c r="H19" s="100"/>
      <c r="I19" s="100"/>
      <c r="J19" s="113"/>
      <c r="K19" s="100"/>
    </row>
    <row r="21" spans="2:11" x14ac:dyDescent="0.25">
      <c r="B21" t="s">
        <v>243</v>
      </c>
      <c r="E21" s="117">
        <f>54/1609</f>
        <v>3.3561218147917959E-2</v>
      </c>
      <c r="G21" t="s">
        <v>244</v>
      </c>
      <c r="K21" s="118">
        <v>7.1099999999999997E-2</v>
      </c>
    </row>
    <row r="22" spans="2:11" x14ac:dyDescent="0.25">
      <c r="B22" t="s">
        <v>210</v>
      </c>
      <c r="E22" s="119">
        <f>G17</f>
        <v>0.3</v>
      </c>
      <c r="G22" t="s">
        <v>245</v>
      </c>
      <c r="K22" s="120">
        <f>[1]Rm!F8-[1]WACC!K21</f>
        <v>8.0392307692307707E-2</v>
      </c>
    </row>
    <row r="23" spans="2:11" ht="17.25" x14ac:dyDescent="0.25">
      <c r="B23" s="121" t="s">
        <v>246</v>
      </c>
      <c r="C23" s="121"/>
      <c r="D23" s="121"/>
      <c r="E23" s="122">
        <f>E21*(1-E22)</f>
        <v>2.349285270354257E-2</v>
      </c>
      <c r="G23" t="s">
        <v>247</v>
      </c>
      <c r="K23" s="123">
        <f>K32</f>
        <v>1.4592847161580422</v>
      </c>
    </row>
    <row r="24" spans="2:11" x14ac:dyDescent="0.25">
      <c r="G24" s="121" t="s">
        <v>242</v>
      </c>
      <c r="H24" s="121"/>
      <c r="I24" s="121"/>
      <c r="J24" s="121"/>
      <c r="K24" s="124">
        <f>K21+(K22*K23)</f>
        <v>0.18841526591205926</v>
      </c>
    </row>
    <row r="27" spans="2:11" x14ac:dyDescent="0.25">
      <c r="G27" s="113" t="s">
        <v>248</v>
      </c>
      <c r="H27" s="113"/>
      <c r="I27" s="100"/>
      <c r="J27" s="100"/>
      <c r="K27" s="100"/>
    </row>
    <row r="28" spans="2:11" x14ac:dyDescent="0.25">
      <c r="B28" s="113" t="s">
        <v>249</v>
      </c>
      <c r="C28" s="113"/>
      <c r="D28" s="100"/>
      <c r="E28" s="100"/>
    </row>
    <row r="29" spans="2:11" x14ac:dyDescent="0.25">
      <c r="G29" t="s">
        <v>250</v>
      </c>
      <c r="K29" s="123">
        <f>K17</f>
        <v>1.2372717537892315</v>
      </c>
    </row>
    <row r="30" spans="2:11" x14ac:dyDescent="0.25">
      <c r="D30" s="125" t="s">
        <v>251</v>
      </c>
      <c r="E30" s="125" t="s">
        <v>252</v>
      </c>
      <c r="G30" t="s">
        <v>253</v>
      </c>
      <c r="K30" s="92">
        <f>E35</f>
        <v>0.2563392996253715</v>
      </c>
    </row>
    <row r="31" spans="2:11" x14ac:dyDescent="0.25">
      <c r="B31" t="s">
        <v>227</v>
      </c>
      <c r="C31" s="126">
        <f>E10</f>
        <v>1609.19</v>
      </c>
      <c r="D31" s="16">
        <f>C31/$C$33</f>
        <v>5.5662699654250572E-3</v>
      </c>
      <c r="E31" s="118">
        <f>I16</f>
        <v>0.2040366799811241</v>
      </c>
      <c r="G31" t="s">
        <v>210</v>
      </c>
      <c r="K31" s="127">
        <f>E22</f>
        <v>0.3</v>
      </c>
    </row>
    <row r="32" spans="2:11" x14ac:dyDescent="0.25">
      <c r="B32" t="s">
        <v>43</v>
      </c>
      <c r="C32" s="126">
        <f>F10</f>
        <v>287487.46000000002</v>
      </c>
      <c r="D32" s="16">
        <f>C32/$C$33</f>
        <v>0.99443373003457491</v>
      </c>
      <c r="E32" s="92">
        <f>E33-E31</f>
        <v>0.79596332001887593</v>
      </c>
      <c r="G32" s="128" t="s">
        <v>248</v>
      </c>
      <c r="H32" s="121"/>
      <c r="I32" s="121"/>
      <c r="J32" s="121"/>
      <c r="K32" s="129">
        <f>K29*(1+(1-K31)*K30)</f>
        <v>1.4592847161580422</v>
      </c>
    </row>
    <row r="33" spans="2:11" x14ac:dyDescent="0.25">
      <c r="B33" s="121" t="s">
        <v>254</v>
      </c>
      <c r="C33" s="130">
        <f>SUM(C31:C32)</f>
        <v>289096.65000000002</v>
      </c>
      <c r="D33" s="131">
        <f>C33/$C$33</f>
        <v>1</v>
      </c>
      <c r="E33" s="124">
        <f>D33</f>
        <v>1</v>
      </c>
    </row>
    <row r="34" spans="2:11" x14ac:dyDescent="0.25">
      <c r="G34" s="113" t="s">
        <v>219</v>
      </c>
      <c r="H34" s="113"/>
      <c r="I34" s="100"/>
      <c r="J34" s="100"/>
      <c r="K34" s="100"/>
    </row>
    <row r="35" spans="2:11" x14ac:dyDescent="0.25">
      <c r="B35" t="s">
        <v>255</v>
      </c>
      <c r="D35" s="92">
        <f>D31/D32</f>
        <v>5.5974267538486718E-3</v>
      </c>
      <c r="E35" s="92">
        <f>E31/E32</f>
        <v>0.2563392996253715</v>
      </c>
    </row>
    <row r="36" spans="2:11" x14ac:dyDescent="0.25">
      <c r="G36" s="132" t="s">
        <v>242</v>
      </c>
      <c r="J36" s="133"/>
      <c r="K36" s="134">
        <f>K24</f>
        <v>0.18841526591205926</v>
      </c>
    </row>
    <row r="37" spans="2:11" x14ac:dyDescent="0.25">
      <c r="B37" s="135" t="s">
        <v>256</v>
      </c>
      <c r="G37" t="s">
        <v>257</v>
      </c>
      <c r="J37" s="136"/>
      <c r="K37" s="136">
        <f>E32</f>
        <v>0.79596332001887593</v>
      </c>
    </row>
    <row r="38" spans="2:11" x14ac:dyDescent="0.25">
      <c r="B38" s="137" t="s">
        <v>258</v>
      </c>
      <c r="J38" s="92"/>
      <c r="K38" s="16"/>
    </row>
    <row r="39" spans="2:11" x14ac:dyDescent="0.25">
      <c r="B39" s="137" t="s">
        <v>259</v>
      </c>
      <c r="G39" s="138" t="s">
        <v>241</v>
      </c>
      <c r="H39" s="65"/>
      <c r="I39" s="65"/>
      <c r="J39" s="65"/>
      <c r="K39" s="139">
        <f>E23</f>
        <v>2.349285270354257E-2</v>
      </c>
    </row>
    <row r="40" spans="2:11" x14ac:dyDescent="0.25">
      <c r="B40" s="137" t="s">
        <v>260</v>
      </c>
      <c r="G40" s="132" t="s">
        <v>261</v>
      </c>
      <c r="K40" s="92">
        <f>E31</f>
        <v>0.2040366799811241</v>
      </c>
    </row>
    <row r="41" spans="2:11" x14ac:dyDescent="0.25">
      <c r="B41" s="137" t="s">
        <v>262</v>
      </c>
    </row>
    <row r="42" spans="2:11" x14ac:dyDescent="0.25">
      <c r="G42" s="140" t="s">
        <v>218</v>
      </c>
      <c r="H42" s="82"/>
      <c r="I42" s="82"/>
      <c r="J42" s="82"/>
      <c r="K42" s="141">
        <f>(K36*K37)+(K39*K40)</f>
        <v>0.15476504426651844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0"/>
  <sheetViews>
    <sheetView showGridLines="0" topLeftCell="A2" workbookViewId="0">
      <selection activeCell="N6" sqref="N6"/>
    </sheetView>
  </sheetViews>
  <sheetFormatPr defaultRowHeight="15" x14ac:dyDescent="0.25"/>
  <cols>
    <col min="1" max="1" width="1.85546875" customWidth="1"/>
    <col min="2" max="2" width="12" bestFit="1" customWidth="1"/>
    <col min="3" max="3" width="9.85546875" bestFit="1" customWidth="1"/>
    <col min="4" max="4" width="11.140625" customWidth="1"/>
    <col min="5" max="5" width="13.28515625" bestFit="1" customWidth="1"/>
    <col min="6" max="6" width="2.7109375" customWidth="1"/>
    <col min="7" max="7" width="12" bestFit="1" customWidth="1"/>
    <col min="9" max="9" width="9.7109375" bestFit="1" customWidth="1"/>
    <col min="10" max="10" width="13.28515625" bestFit="1" customWidth="1"/>
    <col min="11" max="11" width="2.7109375" customWidth="1"/>
    <col min="12" max="12" width="12.7109375" customWidth="1"/>
    <col min="14" max="14" width="12.7109375" customWidth="1"/>
    <col min="15" max="15" width="18.140625" customWidth="1"/>
  </cols>
  <sheetData>
    <row r="2" spans="2:15" x14ac:dyDescent="0.25">
      <c r="B2" s="160" t="str">
        <f>'Data Sheet'!B1&amp;" - "&amp;'Data Sheet'!A17&amp;" Forecasting"</f>
        <v>ASIAN PAINTS LTD - Sales Forecasting</v>
      </c>
      <c r="C2" s="160"/>
      <c r="D2" s="160"/>
      <c r="E2" s="160"/>
      <c r="G2" s="160" t="str">
        <f>'Data Sheet'!$B$1&amp;" - "&amp;HistoricalFS!B18&amp;" Forecasting"</f>
        <v>ASIAN PAINTS LTD - EBITDA Forecasting</v>
      </c>
      <c r="H2" s="160"/>
      <c r="I2" s="160"/>
      <c r="J2" s="160"/>
      <c r="L2" s="55" t="str">
        <f>'Data Sheet'!$B$1&amp;" - "&amp;HistoricalFS!B38&amp;" Forecasting"</f>
        <v>ASIAN PAINTS LTD - Earning Per Share Forecasting</v>
      </c>
      <c r="M2" s="55"/>
      <c r="N2" s="55"/>
      <c r="O2" s="55"/>
    </row>
    <row r="3" spans="2:15" x14ac:dyDescent="0.25">
      <c r="B3" s="46" t="s">
        <v>150</v>
      </c>
      <c r="C3" s="47" t="s">
        <v>151</v>
      </c>
      <c r="D3" s="47" t="s">
        <v>1</v>
      </c>
      <c r="E3" s="47" t="s">
        <v>152</v>
      </c>
      <c r="G3" s="46" t="s">
        <v>150</v>
      </c>
      <c r="H3" s="47" t="s">
        <v>151</v>
      </c>
      <c r="I3" s="47" t="s">
        <v>1</v>
      </c>
      <c r="J3" s="47" t="s">
        <v>152</v>
      </c>
      <c r="L3" s="46" t="s">
        <v>150</v>
      </c>
      <c r="M3" s="47" t="s">
        <v>151</v>
      </c>
      <c r="N3" s="47" t="s">
        <v>1</v>
      </c>
      <c r="O3" s="47" t="s">
        <v>152</v>
      </c>
    </row>
    <row r="4" spans="2:15" x14ac:dyDescent="0.25">
      <c r="B4" s="45">
        <v>1</v>
      </c>
      <c r="C4" s="49">
        <f>'Data Sheet'!$B$16</f>
        <v>42460</v>
      </c>
      <c r="D4" s="53">
        <f t="array" ref="D4:D13">TRANSPOSE('Data Sheet'!B17:K17)</f>
        <v>14271.49</v>
      </c>
      <c r="G4" s="45">
        <v>1</v>
      </c>
      <c r="H4" s="49">
        <f>'Data Sheet'!$B$16</f>
        <v>42460</v>
      </c>
      <c r="I4" s="53">
        <f t="array" ref="I4:I13">TRANSPOSE('Data Sheet'!B51:K51)</f>
        <v>1924.95</v>
      </c>
      <c r="L4" s="45">
        <v>1</v>
      </c>
      <c r="M4" s="49">
        <f>'Data Sheet'!$B$16</f>
        <v>42460</v>
      </c>
      <c r="N4" s="53">
        <f t="array" ref="N4:N13">TRANSPOSE(HistoricalFS!C38:L38)</f>
        <v>467.8219349457882</v>
      </c>
    </row>
    <row r="5" spans="2:15" x14ac:dyDescent="0.25">
      <c r="B5" s="45">
        <f>B4+1</f>
        <v>2</v>
      </c>
      <c r="C5" s="49">
        <f>C4+365</f>
        <v>42825</v>
      </c>
      <c r="D5" s="53">
        <v>68085</v>
      </c>
      <c r="E5" s="16">
        <f>D5/D4-1</f>
        <v>3.7707001861753753</v>
      </c>
      <c r="G5" s="45">
        <f>G4+1</f>
        <v>2</v>
      </c>
      <c r="H5" s="49">
        <f>H4+365</f>
        <v>42825</v>
      </c>
      <c r="I5" s="53">
        <v>5741.5</v>
      </c>
      <c r="J5" s="16">
        <f>I5/I4-1</f>
        <v>1.9826748746720693</v>
      </c>
      <c r="L5" s="45">
        <f>L4+1</f>
        <v>2</v>
      </c>
      <c r="M5" s="49">
        <f>M4+365</f>
        <v>42825</v>
      </c>
      <c r="N5" s="53">
        <v>17.497393661384489</v>
      </c>
      <c r="O5" s="16">
        <f>N5/N4-1</f>
        <v>-0.96259817602735509</v>
      </c>
    </row>
    <row r="6" spans="2:15" x14ac:dyDescent="0.25">
      <c r="B6" s="45">
        <f t="shared" ref="B6:B18" si="0">B5+1</f>
        <v>3</v>
      </c>
      <c r="C6" s="49">
        <f t="shared" ref="C6:C18" si="1">C5+365</f>
        <v>43190</v>
      </c>
      <c r="D6" s="53">
        <v>79809.399999999994</v>
      </c>
      <c r="E6" s="16">
        <f t="shared" ref="E6:E18" si="2">D6/D5-1</f>
        <v>0.17220239406624072</v>
      </c>
      <c r="G6" s="45">
        <f t="shared" ref="G6:G18" si="3">G5+1</f>
        <v>3</v>
      </c>
      <c r="H6" s="49">
        <f t="shared" ref="H6:H18" si="4">H5+365</f>
        <v>43190</v>
      </c>
      <c r="I6" s="53">
        <v>6519.4000000000005</v>
      </c>
      <c r="J6" s="16">
        <f t="shared" ref="J6:J18" si="5">I6/I5-1</f>
        <v>0.13548724200992779</v>
      </c>
      <c r="L6" s="45">
        <f t="shared" ref="L6:L18" si="6">L5+1</f>
        <v>3</v>
      </c>
      <c r="M6" s="49">
        <f t="shared" ref="M6:M18" si="7">M5+365</f>
        <v>43190</v>
      </c>
      <c r="N6" s="53">
        <v>18.360195996663897</v>
      </c>
      <c r="O6" s="16">
        <f t="shared" ref="O6:O18" si="8">N6/N5-1</f>
        <v>4.9310334554771629E-2</v>
      </c>
    </row>
    <row r="7" spans="2:15" x14ac:dyDescent="0.25">
      <c r="B7" s="45">
        <f t="shared" si="0"/>
        <v>4</v>
      </c>
      <c r="C7" s="49">
        <f t="shared" si="1"/>
        <v>43555</v>
      </c>
      <c r="D7" s="53">
        <v>86068.5</v>
      </c>
      <c r="E7" s="16">
        <f t="shared" si="2"/>
        <v>7.8425598989592782E-2</v>
      </c>
      <c r="G7" s="45">
        <f t="shared" si="3"/>
        <v>4</v>
      </c>
      <c r="H7" s="49">
        <f t="shared" si="4"/>
        <v>43555</v>
      </c>
      <c r="I7" s="53">
        <v>6438.3</v>
      </c>
      <c r="J7" s="16">
        <f t="shared" si="5"/>
        <v>-1.2439795073166282E-2</v>
      </c>
      <c r="L7" s="45">
        <f t="shared" si="6"/>
        <v>4</v>
      </c>
      <c r="M7" s="49">
        <f t="shared" si="7"/>
        <v>43555</v>
      </c>
      <c r="N7" s="53">
        <v>20.165450375312773</v>
      </c>
      <c r="O7" s="16">
        <f t="shared" si="8"/>
        <v>9.8324352255111824E-2</v>
      </c>
    </row>
    <row r="8" spans="2:15" x14ac:dyDescent="0.25">
      <c r="B8" s="45">
        <f t="shared" si="0"/>
        <v>5</v>
      </c>
      <c r="C8" s="49">
        <f t="shared" si="1"/>
        <v>43920</v>
      </c>
      <c r="D8" s="53">
        <v>75660</v>
      </c>
      <c r="E8" s="16">
        <f t="shared" si="2"/>
        <v>-0.12093274542951249</v>
      </c>
      <c r="G8" s="45">
        <f t="shared" si="3"/>
        <v>5</v>
      </c>
      <c r="H8" s="49">
        <f t="shared" si="4"/>
        <v>43920</v>
      </c>
      <c r="I8" s="53">
        <v>6384.5</v>
      </c>
      <c r="J8" s="16">
        <f t="shared" si="5"/>
        <v>-8.3562431076527055E-3</v>
      </c>
      <c r="L8" s="45">
        <f t="shared" si="6"/>
        <v>5</v>
      </c>
      <c r="M8" s="49">
        <f t="shared" si="7"/>
        <v>43920</v>
      </c>
      <c r="N8" s="53">
        <v>25.271997497914906</v>
      </c>
      <c r="O8" s="16">
        <f t="shared" si="8"/>
        <v>0.25323248564057566</v>
      </c>
    </row>
    <row r="9" spans="2:15" x14ac:dyDescent="0.25">
      <c r="B9" s="45">
        <f t="shared" si="0"/>
        <v>6</v>
      </c>
      <c r="C9" s="49">
        <f t="shared" si="1"/>
        <v>44285</v>
      </c>
      <c r="D9" s="53">
        <v>70372</v>
      </c>
      <c r="E9" s="16">
        <f t="shared" si="2"/>
        <v>-6.9891620407084298E-2</v>
      </c>
      <c r="G9" s="45">
        <f t="shared" si="3"/>
        <v>6</v>
      </c>
      <c r="H9" s="49">
        <f t="shared" si="4"/>
        <v>44285</v>
      </c>
      <c r="I9" s="53">
        <v>6505.5</v>
      </c>
      <c r="J9" s="16">
        <f t="shared" si="5"/>
        <v>1.8952149737645918E-2</v>
      </c>
      <c r="L9" s="45">
        <f t="shared" si="6"/>
        <v>6</v>
      </c>
      <c r="M9" s="49">
        <f t="shared" si="7"/>
        <v>44285</v>
      </c>
      <c r="N9" s="53">
        <v>29.973936613844902</v>
      </c>
      <c r="O9" s="16">
        <f t="shared" si="8"/>
        <v>0.1860533231026924</v>
      </c>
    </row>
    <row r="10" spans="2:15" x14ac:dyDescent="0.25">
      <c r="B10" s="45">
        <f t="shared" si="0"/>
        <v>7</v>
      </c>
      <c r="C10" s="49">
        <f t="shared" si="1"/>
        <v>44650</v>
      </c>
      <c r="D10" s="53">
        <v>88329.8</v>
      </c>
      <c r="E10" s="16">
        <f t="shared" si="2"/>
        <v>0.25518387995225389</v>
      </c>
      <c r="G10" s="45">
        <f t="shared" si="3"/>
        <v>7</v>
      </c>
      <c r="H10" s="49">
        <f t="shared" si="4"/>
        <v>44650</v>
      </c>
      <c r="I10" s="53">
        <v>6305.8</v>
      </c>
      <c r="J10" s="16">
        <f t="shared" si="5"/>
        <v>-3.0697102451771596E-2</v>
      </c>
      <c r="L10" s="45">
        <f t="shared" si="6"/>
        <v>7</v>
      </c>
      <c r="M10" s="49">
        <f t="shared" si="7"/>
        <v>44650</v>
      </c>
      <c r="N10" s="53">
        <v>29.075583819849857</v>
      </c>
      <c r="O10" s="16">
        <f t="shared" si="8"/>
        <v>-2.9971131438908061E-2</v>
      </c>
    </row>
    <row r="11" spans="2:15" x14ac:dyDescent="0.25">
      <c r="B11" s="45">
        <f t="shared" si="0"/>
        <v>8</v>
      </c>
      <c r="C11" s="49">
        <f t="shared" si="1"/>
        <v>45015</v>
      </c>
      <c r="D11" s="53">
        <v>117571.3</v>
      </c>
      <c r="E11" s="16">
        <f t="shared" si="2"/>
        <v>0.3310490910202446</v>
      </c>
      <c r="G11" s="45">
        <f t="shared" si="3"/>
        <v>8</v>
      </c>
      <c r="H11" s="49">
        <f t="shared" si="4"/>
        <v>45015</v>
      </c>
      <c r="I11" s="53">
        <v>6178.6</v>
      </c>
      <c r="J11" s="16">
        <f t="shared" si="5"/>
        <v>-2.0171905230105591E-2</v>
      </c>
      <c r="L11" s="45">
        <f t="shared" si="6"/>
        <v>8</v>
      </c>
      <c r="M11" s="49">
        <f t="shared" si="7"/>
        <v>45015</v>
      </c>
      <c r="N11" s="53">
        <v>39.23967889908252</v>
      </c>
      <c r="O11" s="16">
        <f t="shared" si="8"/>
        <v>0.34957492658474676</v>
      </c>
    </row>
    <row r="12" spans="2:15" x14ac:dyDescent="0.25">
      <c r="B12" s="45">
        <f t="shared" si="0"/>
        <v>9</v>
      </c>
      <c r="C12" s="49">
        <f t="shared" si="1"/>
        <v>45380</v>
      </c>
      <c r="D12" s="53">
        <v>141858.20000000001</v>
      </c>
      <c r="E12" s="16">
        <f t="shared" si="2"/>
        <v>0.20657167182807368</v>
      </c>
      <c r="G12" s="45">
        <f t="shared" si="3"/>
        <v>9</v>
      </c>
      <c r="H12" s="49">
        <f t="shared" si="4"/>
        <v>45380</v>
      </c>
      <c r="I12" s="53">
        <v>6789</v>
      </c>
      <c r="J12" s="16">
        <f t="shared" si="5"/>
        <v>9.879260673939072E-2</v>
      </c>
      <c r="L12" s="45">
        <f t="shared" si="6"/>
        <v>9</v>
      </c>
      <c r="M12" s="49">
        <f t="shared" si="7"/>
        <v>45380</v>
      </c>
      <c r="N12" s="53">
        <v>49.382089241034208</v>
      </c>
      <c r="O12" s="16">
        <f t="shared" si="8"/>
        <v>0.25847332665581102</v>
      </c>
    </row>
    <row r="13" spans="2:15" x14ac:dyDescent="0.25">
      <c r="B13" s="45">
        <f t="shared" si="0"/>
        <v>10</v>
      </c>
      <c r="C13" s="49">
        <f t="shared" si="1"/>
        <v>45745</v>
      </c>
      <c r="D13" s="53">
        <v>152913</v>
      </c>
      <c r="E13" s="16">
        <f t="shared" si="2"/>
        <v>7.7928522989858751E-2</v>
      </c>
      <c r="G13" s="45">
        <f t="shared" si="3"/>
        <v>10</v>
      </c>
      <c r="H13" s="49">
        <f t="shared" si="4"/>
        <v>45745</v>
      </c>
      <c r="I13" s="53">
        <v>7307.7000000000007</v>
      </c>
      <c r="J13" s="16">
        <f t="shared" si="5"/>
        <v>7.6403004860804424E-2</v>
      </c>
      <c r="L13" s="45">
        <f t="shared" si="6"/>
        <v>10</v>
      </c>
      <c r="M13" s="49">
        <f t="shared" si="7"/>
        <v>45745</v>
      </c>
      <c r="N13" s="53">
        <v>35.023874061718125</v>
      </c>
      <c r="O13" s="16">
        <f t="shared" si="8"/>
        <v>-0.29075754792863395</v>
      </c>
    </row>
    <row r="14" spans="2:15" x14ac:dyDescent="0.25">
      <c r="B14" s="50">
        <f t="shared" si="0"/>
        <v>11</v>
      </c>
      <c r="C14" s="51">
        <f t="shared" si="1"/>
        <v>46110</v>
      </c>
      <c r="D14" s="54">
        <f>FORECAST(B14,$D$4:$D$13,$B$4:$B$13)</f>
        <v>154643.58199999999</v>
      </c>
      <c r="E14" s="52">
        <f t="shared" si="2"/>
        <v>1.1317428864779266E-2</v>
      </c>
      <c r="G14" s="50">
        <f t="shared" si="3"/>
        <v>11</v>
      </c>
      <c r="H14" s="51">
        <f t="shared" si="4"/>
        <v>46110</v>
      </c>
      <c r="I14" s="54">
        <f>FORECAST(G14,$I$4:$I$13,$G$4:$G$13)</f>
        <v>7802.75</v>
      </c>
      <c r="J14" s="52">
        <f t="shared" si="5"/>
        <v>6.7743612901459915E-2</v>
      </c>
      <c r="L14" s="50">
        <f t="shared" si="6"/>
        <v>11</v>
      </c>
      <c r="M14" s="51">
        <f t="shared" si="7"/>
        <v>46110</v>
      </c>
      <c r="N14" s="54">
        <f>FORECAST(L14,$N$4:$N$13,$L$4:$L$13)</f>
        <v>-44.690783986655532</v>
      </c>
      <c r="O14" s="52">
        <f t="shared" si="8"/>
        <v>-2.2760091561516766</v>
      </c>
    </row>
    <row r="15" spans="2:15" x14ac:dyDescent="0.25">
      <c r="B15" s="50">
        <f t="shared" si="0"/>
        <v>12</v>
      </c>
      <c r="C15" s="51">
        <f t="shared" si="1"/>
        <v>46475</v>
      </c>
      <c r="D15" s="54">
        <f t="shared" ref="D15:D18" si="9">FORECAST(B15,$D$4:$D$13,$B$4:$B$13)</f>
        <v>166488.98436363635</v>
      </c>
      <c r="E15" s="52">
        <f t="shared" si="2"/>
        <v>7.6598085807637162E-2</v>
      </c>
      <c r="G15" s="50">
        <f t="shared" si="3"/>
        <v>12</v>
      </c>
      <c r="H15" s="51">
        <f t="shared" si="4"/>
        <v>46475</v>
      </c>
      <c r="I15" s="54">
        <f t="shared" ref="I15:I18" si="10">FORECAST(G15,$I$4:$I$13,$G$4:$G$13)</f>
        <v>8128.7909090909088</v>
      </c>
      <c r="J15" s="52">
        <f t="shared" si="5"/>
        <v>4.1785384523521651E-2</v>
      </c>
      <c r="L15" s="50">
        <f t="shared" si="6"/>
        <v>12</v>
      </c>
      <c r="M15" s="51">
        <f t="shared" si="7"/>
        <v>46475</v>
      </c>
      <c r="N15" s="54">
        <f t="shared" ref="N15:N18" si="11">FORECAST(L15,$N$4:$N$13,$L$4:$L$13)</f>
        <v>-66.122056259003728</v>
      </c>
      <c r="O15" s="52">
        <f t="shared" si="8"/>
        <v>0.47954567721943464</v>
      </c>
    </row>
    <row r="16" spans="2:15" x14ac:dyDescent="0.25">
      <c r="B16" s="50">
        <f t="shared" si="0"/>
        <v>13</v>
      </c>
      <c r="C16" s="51">
        <f t="shared" si="1"/>
        <v>46840</v>
      </c>
      <c r="D16" s="54">
        <f t="shared" si="9"/>
        <v>178334.38672727271</v>
      </c>
      <c r="E16" s="52">
        <f t="shared" si="2"/>
        <v>7.1148264907210157E-2</v>
      </c>
      <c r="G16" s="50">
        <f t="shared" si="3"/>
        <v>13</v>
      </c>
      <c r="H16" s="51">
        <f t="shared" si="4"/>
        <v>46840</v>
      </c>
      <c r="I16" s="54">
        <f t="shared" si="10"/>
        <v>8454.8318181818177</v>
      </c>
      <c r="J16" s="52">
        <f t="shared" si="5"/>
        <v>4.0109397908891786E-2</v>
      </c>
      <c r="L16" s="50">
        <f t="shared" si="6"/>
        <v>13</v>
      </c>
      <c r="M16" s="51">
        <f t="shared" si="7"/>
        <v>46840</v>
      </c>
      <c r="N16" s="54">
        <f t="shared" si="11"/>
        <v>-87.553328531351895</v>
      </c>
      <c r="O16" s="52">
        <f t="shared" si="8"/>
        <v>0.32411684519308803</v>
      </c>
    </row>
    <row r="17" spans="2:15" x14ac:dyDescent="0.25">
      <c r="B17" s="50">
        <f t="shared" si="0"/>
        <v>14</v>
      </c>
      <c r="C17" s="51">
        <f t="shared" si="1"/>
        <v>47205</v>
      </c>
      <c r="D17" s="54">
        <f t="shared" si="9"/>
        <v>190179.78909090909</v>
      </c>
      <c r="E17" s="52">
        <f t="shared" si="2"/>
        <v>6.6422424642935463E-2</v>
      </c>
      <c r="G17" s="50">
        <f t="shared" si="3"/>
        <v>14</v>
      </c>
      <c r="H17" s="51">
        <f t="shared" si="4"/>
        <v>47205</v>
      </c>
      <c r="I17" s="54">
        <f t="shared" si="10"/>
        <v>8780.8727272727265</v>
      </c>
      <c r="J17" s="52">
        <f t="shared" si="5"/>
        <v>3.8562672339592874E-2</v>
      </c>
      <c r="L17" s="50">
        <f t="shared" si="6"/>
        <v>14</v>
      </c>
      <c r="M17" s="51">
        <f t="shared" si="7"/>
        <v>47205</v>
      </c>
      <c r="N17" s="54">
        <f t="shared" si="11"/>
        <v>-108.98460080370006</v>
      </c>
      <c r="O17" s="52">
        <f t="shared" si="8"/>
        <v>0.24477964038424727</v>
      </c>
    </row>
    <row r="18" spans="2:15" x14ac:dyDescent="0.25">
      <c r="B18" s="50">
        <f t="shared" si="0"/>
        <v>15</v>
      </c>
      <c r="C18" s="51">
        <f t="shared" si="1"/>
        <v>47570</v>
      </c>
      <c r="D18" s="54">
        <f t="shared" si="9"/>
        <v>202025.19145454545</v>
      </c>
      <c r="E18" s="52">
        <f t="shared" si="2"/>
        <v>6.2285284994054058E-2</v>
      </c>
      <c r="G18" s="50">
        <f t="shared" si="3"/>
        <v>15</v>
      </c>
      <c r="H18" s="51">
        <f t="shared" si="4"/>
        <v>47570</v>
      </c>
      <c r="I18" s="54">
        <f t="shared" si="10"/>
        <v>9106.9136363636353</v>
      </c>
      <c r="J18" s="52">
        <f t="shared" si="5"/>
        <v>3.7130809114024776E-2</v>
      </c>
      <c r="L18" s="50">
        <f t="shared" si="6"/>
        <v>15</v>
      </c>
      <c r="M18" s="51">
        <f t="shared" si="7"/>
        <v>47570</v>
      </c>
      <c r="N18" s="54">
        <f t="shared" si="11"/>
        <v>-130.41587307604823</v>
      </c>
      <c r="O18" s="52">
        <f t="shared" si="8"/>
        <v>0.19664495822625039</v>
      </c>
    </row>
    <row r="19" spans="2:15" x14ac:dyDescent="0.25">
      <c r="B19" s="45"/>
      <c r="C19" s="48"/>
    </row>
    <row r="20" spans="2:15" x14ac:dyDescent="0.25">
      <c r="B20" s="45"/>
      <c r="C20" s="48"/>
    </row>
  </sheetData>
  <mergeCells count="2">
    <mergeCell ref="B2:E2"/>
    <mergeCell ref="G2:J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1"/>
  <sheetViews>
    <sheetView showGridLines="0" workbookViewId="0">
      <pane ySplit="3" topLeftCell="A73" activePane="bottomLeft" state="frozen"/>
      <selection pane="bottomLeft" activeCell="C38" sqref="C38:L38"/>
    </sheetView>
  </sheetViews>
  <sheetFormatPr defaultRowHeight="15" x14ac:dyDescent="0.25"/>
  <cols>
    <col min="1" max="1" width="1.85546875" customWidth="1"/>
    <col min="2" max="2" width="28.42578125" bestFit="1" customWidth="1"/>
    <col min="3" max="13" width="12.7109375" customWidth="1"/>
  </cols>
  <sheetData>
    <row r="2" spans="1:13" x14ac:dyDescent="0.25">
      <c r="B2" s="159" t="str">
        <f>"Historical Financial Statement- "&amp;'Data Sheet'!B1</f>
        <v>Historical Financial Statement- ASIAN PAINTS LTD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</row>
    <row r="3" spans="1:13" x14ac:dyDescent="0.25">
      <c r="B3" s="8" t="s">
        <v>112</v>
      </c>
      <c r="C3" s="9">
        <f>'Data Sheet'!B16</f>
        <v>42460</v>
      </c>
      <c r="D3" s="9">
        <f>'Data Sheet'!C16</f>
        <v>42825</v>
      </c>
      <c r="E3" s="9">
        <f>'Data Sheet'!D16</f>
        <v>43190</v>
      </c>
      <c r="F3" s="9">
        <f>'Data Sheet'!E16</f>
        <v>43555</v>
      </c>
      <c r="G3" s="9">
        <f>'Data Sheet'!F16</f>
        <v>43921</v>
      </c>
      <c r="H3" s="9">
        <f>'Data Sheet'!G16</f>
        <v>44286</v>
      </c>
      <c r="I3" s="9">
        <f>'Data Sheet'!H16</f>
        <v>44651</v>
      </c>
      <c r="J3" s="9">
        <f>'Data Sheet'!I16</f>
        <v>45016</v>
      </c>
      <c r="K3" s="9">
        <f>'Data Sheet'!J16</f>
        <v>45382</v>
      </c>
      <c r="L3" s="9">
        <f>'Data Sheet'!K16</f>
        <v>45747</v>
      </c>
      <c r="M3" s="14" t="s">
        <v>113</v>
      </c>
    </row>
    <row r="5" spans="1:13" x14ac:dyDescent="0.25">
      <c r="A5" t="s">
        <v>57</v>
      </c>
      <c r="B5" s="11" t="s">
        <v>58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x14ac:dyDescent="0.25">
      <c r="B6" t="s">
        <v>1</v>
      </c>
      <c r="C6" s="15">
        <f>IFERROR('[2]Data Sheet'!B17,0)</f>
        <v>57589</v>
      </c>
      <c r="D6" s="15">
        <f>IFERROR('Data Sheet'!C17,0)</f>
        <v>15061.99</v>
      </c>
      <c r="E6" s="15">
        <f>IFERROR('Data Sheet'!D17,0)</f>
        <v>16824.55</v>
      </c>
      <c r="F6" s="15">
        <f>IFERROR('Data Sheet'!E17,0)</f>
        <v>19240.13</v>
      </c>
      <c r="G6" s="15">
        <f>IFERROR('Data Sheet'!F17,0)</f>
        <v>20211.25</v>
      </c>
      <c r="H6" s="15">
        <f>IFERROR('Data Sheet'!G17,0)</f>
        <v>21712.79</v>
      </c>
      <c r="I6" s="15">
        <f>IFERROR('Data Sheet'!H17,0)</f>
        <v>29101.279999999999</v>
      </c>
      <c r="J6" s="15">
        <f>IFERROR('Data Sheet'!I17,0)</f>
        <v>34488.589999999997</v>
      </c>
      <c r="K6" s="15">
        <f>IFERROR('Data Sheet'!J17,0)</f>
        <v>35494.730000000003</v>
      </c>
      <c r="L6" s="15">
        <f>IFERROR('Data Sheet'!K17,0)</f>
        <v>33905.620000000003</v>
      </c>
      <c r="M6" s="15">
        <f>IFERROR(SUM('Data Sheet'!H42:K42),0)</f>
        <v>34695.75</v>
      </c>
    </row>
    <row r="7" spans="1:13" x14ac:dyDescent="0.25">
      <c r="B7" s="18" t="s">
        <v>59</v>
      </c>
      <c r="C7" s="19" t="s">
        <v>114</v>
      </c>
      <c r="D7" s="20">
        <f>D6/C6-1</f>
        <v>-0.73845717064022642</v>
      </c>
      <c r="E7" s="20">
        <f t="shared" ref="E7:M7" si="0">E6/D6-1</f>
        <v>0.11702039371955486</v>
      </c>
      <c r="F7" s="20">
        <f t="shared" si="0"/>
        <v>0.14357471670861943</v>
      </c>
      <c r="G7" s="20">
        <f t="shared" si="0"/>
        <v>5.0473671435691925E-2</v>
      </c>
      <c r="H7" s="20">
        <f t="shared" si="0"/>
        <v>7.4292287711052118E-2</v>
      </c>
      <c r="I7" s="20">
        <f t="shared" si="0"/>
        <v>0.34028284711453471</v>
      </c>
      <c r="J7" s="20">
        <f t="shared" si="0"/>
        <v>0.18512278497715551</v>
      </c>
      <c r="K7" s="20">
        <f t="shared" si="0"/>
        <v>2.9173126532572313E-2</v>
      </c>
      <c r="L7" s="20">
        <f t="shared" si="0"/>
        <v>-4.4770308155605121E-2</v>
      </c>
      <c r="M7" s="20">
        <f t="shared" si="0"/>
        <v>2.3303806271644634E-2</v>
      </c>
    </row>
    <row r="9" spans="1:13" x14ac:dyDescent="0.25">
      <c r="B9" t="s">
        <v>60</v>
      </c>
      <c r="C9" s="21">
        <f>IFERROR(SUM('Data Sheet'!B18,'Data Sheet'!B20:B22)-1*'Data Sheet'!B19,0)</f>
        <v>9413.8399999999983</v>
      </c>
      <c r="D9" s="21">
        <f>IFERROR(SUM('Data Sheet'!C18,'Data Sheet'!C20:C22)-1*'Data Sheet'!C19,0)</f>
        <v>9732.66</v>
      </c>
      <c r="E9" s="21">
        <f>IFERROR(SUM('Data Sheet'!D18,'Data Sheet'!D20:D22)-1*'Data Sheet'!D19,0)</f>
        <v>11194.169999999998</v>
      </c>
      <c r="F9" s="21">
        <f>IFERROR(SUM('Data Sheet'!E18,'Data Sheet'!E20:E22)-1*'Data Sheet'!E19,0)</f>
        <v>12905.81</v>
      </c>
      <c r="G9" s="21">
        <f>IFERROR(SUM('Data Sheet'!F18,'Data Sheet'!F20:F22)-1*'Data Sheet'!F19,0)</f>
        <v>13158.020000000002</v>
      </c>
      <c r="H9" s="21">
        <f>IFERROR(SUM('Data Sheet'!G18,'Data Sheet'!G20:G22)-1*'Data Sheet'!G19,0)</f>
        <v>14035.069999999998</v>
      </c>
      <c r="I9" s="21">
        <f>IFERROR(SUM('Data Sheet'!H18,'Data Sheet'!H20:H22)-1*'Data Sheet'!H19,0)</f>
        <v>20590.57</v>
      </c>
      <c r="J9" s="21">
        <f>IFERROR(SUM('Data Sheet'!I18,'Data Sheet'!I20:I22)-1*'Data Sheet'!I19,0)</f>
        <v>23766.7</v>
      </c>
      <c r="K9" s="21">
        <f>IFERROR(SUM('Data Sheet'!J18,'Data Sheet'!J20:J22)-1*'Data Sheet'!J19,0)</f>
        <v>23009.99</v>
      </c>
      <c r="L9" s="21">
        <f>IFERROR(SUM('Data Sheet'!K18,'Data Sheet'!K20:K22)-1*'Data Sheet'!K19,0)</f>
        <v>22741.27</v>
      </c>
      <c r="M9" s="21">
        <f>IFERROR(SUM('Data Sheet'!H43:K43),0)</f>
        <v>28350.240000000002</v>
      </c>
    </row>
    <row r="10" spans="1:13" x14ac:dyDescent="0.25">
      <c r="B10" s="18" t="s">
        <v>61</v>
      </c>
      <c r="C10" s="20">
        <f>C9/C6</f>
        <v>0.16346593967597975</v>
      </c>
      <c r="D10" s="20">
        <f t="shared" ref="D10:M10" si="1">D9/D6</f>
        <v>0.64617357998511482</v>
      </c>
      <c r="E10" s="20">
        <f t="shared" si="1"/>
        <v>0.66534736441687881</v>
      </c>
      <c r="F10" s="20">
        <f t="shared" si="1"/>
        <v>0.67077561326248825</v>
      </c>
      <c r="G10" s="20">
        <f t="shared" si="1"/>
        <v>0.65102455315727636</v>
      </c>
      <c r="H10" s="20">
        <f t="shared" si="1"/>
        <v>0.64639643270164715</v>
      </c>
      <c r="I10" s="20">
        <f t="shared" si="1"/>
        <v>0.70754860267314701</v>
      </c>
      <c r="J10" s="20">
        <f t="shared" si="1"/>
        <v>0.68911776329504926</v>
      </c>
      <c r="K10" s="20">
        <f t="shared" si="1"/>
        <v>0.64826496778535858</v>
      </c>
      <c r="L10" s="20">
        <f t="shared" si="1"/>
        <v>0.67072272974214886</v>
      </c>
      <c r="M10" s="20">
        <f t="shared" si="1"/>
        <v>0.81710987656989698</v>
      </c>
    </row>
    <row r="12" spans="1:13" x14ac:dyDescent="0.25">
      <c r="B12" s="28" t="s">
        <v>62</v>
      </c>
      <c r="C12" s="29">
        <f>C6-C9</f>
        <v>48175.16</v>
      </c>
      <c r="D12" s="29">
        <f t="shared" ref="D12:M12" si="2">D6-D9</f>
        <v>5329.33</v>
      </c>
      <c r="E12" s="29">
        <f t="shared" si="2"/>
        <v>5630.380000000001</v>
      </c>
      <c r="F12" s="29">
        <f t="shared" si="2"/>
        <v>6334.3200000000015</v>
      </c>
      <c r="G12" s="29">
        <f t="shared" si="2"/>
        <v>7053.2299999999977</v>
      </c>
      <c r="H12" s="29">
        <f t="shared" si="2"/>
        <v>7677.720000000003</v>
      </c>
      <c r="I12" s="29">
        <f t="shared" si="2"/>
        <v>8510.7099999999991</v>
      </c>
      <c r="J12" s="29">
        <f t="shared" si="2"/>
        <v>10721.889999999996</v>
      </c>
      <c r="K12" s="29">
        <f t="shared" si="2"/>
        <v>12484.740000000002</v>
      </c>
      <c r="L12" s="29">
        <f t="shared" si="2"/>
        <v>11164.350000000002</v>
      </c>
      <c r="M12" s="29">
        <f t="shared" si="2"/>
        <v>6345.5099999999984</v>
      </c>
    </row>
    <row r="13" spans="1:13" x14ac:dyDescent="0.25">
      <c r="B13" s="18" t="s">
        <v>63</v>
      </c>
      <c r="C13" s="20">
        <f>C12/C6</f>
        <v>0.83653406032402022</v>
      </c>
      <c r="D13" s="20">
        <f t="shared" ref="D13:M13" si="3">D12/D6</f>
        <v>0.35382642001488518</v>
      </c>
      <c r="E13" s="20">
        <f t="shared" si="3"/>
        <v>0.33465263558312119</v>
      </c>
      <c r="F13" s="20">
        <f t="shared" si="3"/>
        <v>0.3292243867375117</v>
      </c>
      <c r="G13" s="20">
        <f t="shared" si="3"/>
        <v>0.34897544684272364</v>
      </c>
      <c r="H13" s="20">
        <f t="shared" si="3"/>
        <v>0.35360356729835285</v>
      </c>
      <c r="I13" s="20">
        <f t="shared" si="3"/>
        <v>0.29245139732685294</v>
      </c>
      <c r="J13" s="20">
        <f t="shared" si="3"/>
        <v>0.31088223670495074</v>
      </c>
      <c r="K13" s="20">
        <f t="shared" si="3"/>
        <v>0.35173503221464147</v>
      </c>
      <c r="L13" s="20">
        <f t="shared" si="3"/>
        <v>0.32927727025785108</v>
      </c>
      <c r="M13" s="20">
        <f t="shared" si="3"/>
        <v>0.18289012343010305</v>
      </c>
    </row>
    <row r="15" spans="1:13" x14ac:dyDescent="0.25">
      <c r="B15" t="s">
        <v>64</v>
      </c>
      <c r="C15" s="22">
        <f>IFERROR(SUM('Data Sheet'!B23:B24),0)</f>
        <v>2132.61</v>
      </c>
      <c r="D15" s="22">
        <f>IFERROR(SUM('Data Sheet'!C23:C24),0)</f>
        <v>2335.5699999999997</v>
      </c>
      <c r="E15" s="22">
        <f>IFERROR(SUM('Data Sheet'!D23:D24),0)</f>
        <v>2426.37</v>
      </c>
      <c r="F15" s="22">
        <f>IFERROR(SUM('Data Sheet'!E23:E24),0)</f>
        <v>2569.38</v>
      </c>
      <c r="G15" s="22">
        <f>IFERROR(SUM('Data Sheet'!F23:F24),0)</f>
        <v>2891.46</v>
      </c>
      <c r="H15" s="22">
        <f>IFERROR(SUM('Data Sheet'!G23:G24),0)</f>
        <v>2822.12</v>
      </c>
      <c r="I15" s="22">
        <f>IFERROR(SUM('Data Sheet'!H23:H24),0)</f>
        <v>3707.1</v>
      </c>
      <c r="J15" s="22">
        <f>IFERROR(SUM('Data Sheet'!I23:I24),0)</f>
        <v>4462.05</v>
      </c>
      <c r="K15" s="22">
        <f>IFERROR(SUM('Data Sheet'!J23:J24),0)</f>
        <v>4899.76</v>
      </c>
      <c r="L15" s="22">
        <f>IFERROR(SUM('Data Sheet'!K23:K24),0)</f>
        <v>5158.1400000000003</v>
      </c>
      <c r="M15" s="22">
        <f>IFERROR(SUM('Data Sheet'!L23:L24),0)</f>
        <v>0</v>
      </c>
    </row>
    <row r="16" spans="1:13" x14ac:dyDescent="0.25">
      <c r="B16" s="18" t="s">
        <v>65</v>
      </c>
      <c r="C16" s="20">
        <f>C15/C6</f>
        <v>3.7031551164284846E-2</v>
      </c>
      <c r="D16" s="20">
        <f t="shared" ref="D16:M16" si="4">D15/D6</f>
        <v>0.15506383950593511</v>
      </c>
      <c r="E16" s="20">
        <f t="shared" si="4"/>
        <v>0.14421604143944414</v>
      </c>
      <c r="F16" s="20">
        <f t="shared" si="4"/>
        <v>0.13354275672773522</v>
      </c>
      <c r="G16" s="20">
        <f t="shared" si="4"/>
        <v>0.14306190859051271</v>
      </c>
      <c r="H16" s="20">
        <f t="shared" si="4"/>
        <v>0.12997500551518251</v>
      </c>
      <c r="I16" s="20">
        <f t="shared" si="4"/>
        <v>0.1273861493377611</v>
      </c>
      <c r="J16" s="20">
        <f t="shared" si="4"/>
        <v>0.12937757095897515</v>
      </c>
      <c r="K16" s="20">
        <f t="shared" si="4"/>
        <v>0.1380419008681007</v>
      </c>
      <c r="L16" s="20">
        <f t="shared" si="4"/>
        <v>0.15213230137068723</v>
      </c>
      <c r="M16" s="20">
        <f t="shared" si="4"/>
        <v>0</v>
      </c>
    </row>
    <row r="18" spans="2:13" x14ac:dyDescent="0.25">
      <c r="B18" s="28" t="s">
        <v>66</v>
      </c>
      <c r="C18" s="30">
        <f>C12-C15</f>
        <v>46042.55</v>
      </c>
      <c r="D18" s="30">
        <f t="shared" ref="D18:L18" si="5">D12-D15</f>
        <v>2993.76</v>
      </c>
      <c r="E18" s="30">
        <f t="shared" si="5"/>
        <v>3204.0100000000011</v>
      </c>
      <c r="F18" s="30">
        <f t="shared" si="5"/>
        <v>3764.9400000000014</v>
      </c>
      <c r="G18" s="30">
        <f t="shared" si="5"/>
        <v>4161.7699999999977</v>
      </c>
      <c r="H18" s="30">
        <f t="shared" si="5"/>
        <v>4855.6000000000031</v>
      </c>
      <c r="I18" s="30">
        <f t="shared" si="5"/>
        <v>4803.6099999999988</v>
      </c>
      <c r="J18" s="30">
        <f t="shared" si="5"/>
        <v>6259.8399999999956</v>
      </c>
      <c r="K18" s="30">
        <f t="shared" si="5"/>
        <v>7584.9800000000014</v>
      </c>
      <c r="L18" s="30">
        <f t="shared" si="5"/>
        <v>6006.2100000000019</v>
      </c>
      <c r="M18" s="30">
        <f>IFERROR(SUM('Data Sheet'!H51:K51),0)</f>
        <v>7565.4800000000014</v>
      </c>
    </row>
    <row r="19" spans="2:13" x14ac:dyDescent="0.25">
      <c r="B19" s="18" t="s">
        <v>67</v>
      </c>
      <c r="C19" s="20">
        <f>C18/C6</f>
        <v>0.79950250915973542</v>
      </c>
      <c r="D19" s="20">
        <f t="shared" ref="D19:M19" si="6">D18/D6</f>
        <v>0.19876258050895004</v>
      </c>
      <c r="E19" s="20">
        <f t="shared" si="6"/>
        <v>0.19043659414367703</v>
      </c>
      <c r="F19" s="20">
        <f t="shared" si="6"/>
        <v>0.19568163000977651</v>
      </c>
      <c r="G19" s="20">
        <f t="shared" si="6"/>
        <v>0.2059135382522109</v>
      </c>
      <c r="H19" s="20">
        <f t="shared" si="6"/>
        <v>0.22362856178317034</v>
      </c>
      <c r="I19" s="20">
        <f t="shared" si="6"/>
        <v>0.16506524798909186</v>
      </c>
      <c r="J19" s="20">
        <f t="shared" si="6"/>
        <v>0.1815046657459756</v>
      </c>
      <c r="K19" s="20">
        <f t="shared" si="6"/>
        <v>0.21369313134654075</v>
      </c>
      <c r="L19" s="20">
        <f t="shared" si="6"/>
        <v>0.17714496888716388</v>
      </c>
      <c r="M19" s="20">
        <f t="shared" si="6"/>
        <v>0.21805206689580139</v>
      </c>
    </row>
    <row r="21" spans="2:13" x14ac:dyDescent="0.25">
      <c r="B21" t="s">
        <v>6</v>
      </c>
      <c r="C21" s="22">
        <f>IFERROR('Data Sheet'!B27,0)</f>
        <v>49</v>
      </c>
      <c r="D21" s="22">
        <f>IFERROR('Data Sheet'!C27,0)</f>
        <v>37.33</v>
      </c>
      <c r="E21" s="22">
        <f>IFERROR('Data Sheet'!D27,0)</f>
        <v>41.47</v>
      </c>
      <c r="F21" s="22">
        <f>IFERROR('Data Sheet'!E27,0)</f>
        <v>110.47</v>
      </c>
      <c r="G21" s="22">
        <f>IFERROR('Data Sheet'!F27,0)</f>
        <v>102.33</v>
      </c>
      <c r="H21" s="22">
        <f>IFERROR('Data Sheet'!G27,0)</f>
        <v>91.63</v>
      </c>
      <c r="I21" s="22">
        <f>IFERROR('Data Sheet'!H27,0)</f>
        <v>95.41</v>
      </c>
      <c r="J21" s="22">
        <f>IFERROR('Data Sheet'!I27,0)</f>
        <v>144.44999999999999</v>
      </c>
      <c r="K21" s="22">
        <f>IFERROR('Data Sheet'!J27,0)</f>
        <v>205.17</v>
      </c>
      <c r="L21" s="22">
        <f>IFERROR('Data Sheet'!K27,0)</f>
        <v>227.02</v>
      </c>
      <c r="M21" s="22">
        <f>IFERROR(SUM('Data Sheet'!H46:K46),0)</f>
        <v>189.1</v>
      </c>
    </row>
    <row r="22" spans="2:13" x14ac:dyDescent="0.25">
      <c r="B22" s="18" t="s">
        <v>68</v>
      </c>
      <c r="C22" s="20">
        <f>C21/C6</f>
        <v>8.5085693448401609E-4</v>
      </c>
      <c r="D22" s="20">
        <f t="shared" ref="D22:M22" si="7">D21/D6</f>
        <v>2.4784241657310885E-3</v>
      </c>
      <c r="E22" s="20">
        <f t="shared" si="7"/>
        <v>2.4648504714836358E-3</v>
      </c>
      <c r="F22" s="20">
        <f t="shared" si="7"/>
        <v>5.7416451967840128E-3</v>
      </c>
      <c r="G22" s="20">
        <f t="shared" si="7"/>
        <v>5.0630218319005502E-3</v>
      </c>
      <c r="H22" s="20">
        <f t="shared" si="7"/>
        <v>4.2200933182700148E-3</v>
      </c>
      <c r="I22" s="20">
        <f t="shared" si="7"/>
        <v>3.2785499469439143E-3</v>
      </c>
      <c r="J22" s="20">
        <f t="shared" si="7"/>
        <v>4.1883417095335005E-3</v>
      </c>
      <c r="K22" s="20">
        <f t="shared" si="7"/>
        <v>5.7802947085384216E-3</v>
      </c>
      <c r="L22" s="20">
        <f t="shared" si="7"/>
        <v>6.6956451467337858E-3</v>
      </c>
      <c r="M22" s="20">
        <f t="shared" si="7"/>
        <v>5.4502352593617373E-3</v>
      </c>
    </row>
    <row r="24" spans="2:13" x14ac:dyDescent="0.25">
      <c r="B24" t="s">
        <v>5</v>
      </c>
      <c r="C24" s="22">
        <f>IFERROR('Data Sheet'!B26,0)</f>
        <v>275.58</v>
      </c>
      <c r="D24" s="22">
        <f>IFERROR('Data Sheet'!C26,0)</f>
        <v>334.79</v>
      </c>
      <c r="E24" s="22">
        <f>IFERROR('Data Sheet'!D26,0)</f>
        <v>360.47</v>
      </c>
      <c r="F24" s="22">
        <f>IFERROR('Data Sheet'!E26,0)</f>
        <v>622.14</v>
      </c>
      <c r="G24" s="22">
        <f>IFERROR('Data Sheet'!F26,0)</f>
        <v>780.5</v>
      </c>
      <c r="H24" s="22">
        <f>IFERROR('Data Sheet'!G26,0)</f>
        <v>791.27</v>
      </c>
      <c r="I24" s="22">
        <f>IFERROR('Data Sheet'!H26,0)</f>
        <v>816.36</v>
      </c>
      <c r="J24" s="22">
        <f>IFERROR('Data Sheet'!I26,0)</f>
        <v>858.02</v>
      </c>
      <c r="K24" s="22">
        <f>IFERROR('Data Sheet'!J26,0)</f>
        <v>853</v>
      </c>
      <c r="L24" s="22">
        <f>IFERROR('Data Sheet'!K26,0)</f>
        <v>1026.3399999999999</v>
      </c>
      <c r="M24" s="22">
        <f>IFERROR(SUM('Data Sheet'!H45:K45),0)</f>
        <v>1219.97</v>
      </c>
    </row>
    <row r="25" spans="2:13" x14ac:dyDescent="0.25">
      <c r="B25" s="18" t="s">
        <v>69</v>
      </c>
      <c r="C25" s="20">
        <f>C24/C6</f>
        <v>4.7852888572470437E-3</v>
      </c>
      <c r="D25" s="20">
        <f t="shared" ref="D25:M25" si="8">D24/D6</f>
        <v>2.2227474590011016E-2</v>
      </c>
      <c r="E25" s="20">
        <f t="shared" si="8"/>
        <v>2.1425238713665449E-2</v>
      </c>
      <c r="F25" s="20">
        <f t="shared" si="8"/>
        <v>3.2335540352378074E-2</v>
      </c>
      <c r="G25" s="20">
        <f t="shared" si="8"/>
        <v>3.8617106809326486E-2</v>
      </c>
      <c r="H25" s="20">
        <f t="shared" si="8"/>
        <v>3.6442576011650275E-2</v>
      </c>
      <c r="I25" s="20">
        <f t="shared" si="8"/>
        <v>2.8052374328551871E-2</v>
      </c>
      <c r="J25" s="20">
        <f t="shared" si="8"/>
        <v>2.4878372818372688E-2</v>
      </c>
      <c r="K25" s="20">
        <f t="shared" si="8"/>
        <v>2.4031736542297968E-2</v>
      </c>
      <c r="L25" s="20">
        <f t="shared" si="8"/>
        <v>3.0270497929251843E-2</v>
      </c>
      <c r="M25" s="20">
        <f t="shared" si="8"/>
        <v>3.5161943465698252E-2</v>
      </c>
    </row>
    <row r="27" spans="2:13" x14ac:dyDescent="0.25">
      <c r="B27" s="28" t="s">
        <v>70</v>
      </c>
      <c r="C27" s="30">
        <f>IFERROR(C18-SUM(C24,C21),0)</f>
        <v>45717.97</v>
      </c>
      <c r="D27" s="30">
        <f>IFERROR(D18-SUM(D24,D21),0)</f>
        <v>2621.6400000000003</v>
      </c>
      <c r="E27" s="30">
        <f t="shared" ref="E27:M27" si="9">IFERROR(E18-SUM(E24,E21),0)</f>
        <v>2802.0700000000011</v>
      </c>
      <c r="F27" s="30">
        <f t="shared" si="9"/>
        <v>3032.3300000000013</v>
      </c>
      <c r="G27" s="30">
        <f t="shared" si="9"/>
        <v>3278.9399999999978</v>
      </c>
      <c r="H27" s="30">
        <f t="shared" si="9"/>
        <v>3972.700000000003</v>
      </c>
      <c r="I27" s="30">
        <f t="shared" si="9"/>
        <v>3891.8399999999988</v>
      </c>
      <c r="J27" s="30">
        <f t="shared" si="9"/>
        <v>5257.3699999999953</v>
      </c>
      <c r="K27" s="30">
        <f t="shared" si="9"/>
        <v>6526.8100000000013</v>
      </c>
      <c r="L27" s="30">
        <f t="shared" si="9"/>
        <v>4752.8500000000022</v>
      </c>
      <c r="M27" s="30">
        <f t="shared" si="9"/>
        <v>6156.4100000000017</v>
      </c>
    </row>
    <row r="28" spans="2:13" x14ac:dyDescent="0.25">
      <c r="B28" s="18" t="s">
        <v>71</v>
      </c>
      <c r="C28" s="20">
        <f>C27/C6</f>
        <v>0.79386636336800431</v>
      </c>
      <c r="D28" s="20">
        <f t="shared" ref="D28:M28" si="10">D27/D6</f>
        <v>0.17405668175320793</v>
      </c>
      <c r="E28" s="20">
        <f t="shared" si="10"/>
        <v>0.16654650495852794</v>
      </c>
      <c r="F28" s="20">
        <f t="shared" si="10"/>
        <v>0.15760444446061442</v>
      </c>
      <c r="G28" s="20">
        <f t="shared" si="10"/>
        <v>0.16223340961098387</v>
      </c>
      <c r="H28" s="20">
        <f t="shared" si="10"/>
        <v>0.18296589245325004</v>
      </c>
      <c r="I28" s="20">
        <f t="shared" si="10"/>
        <v>0.13373432371359606</v>
      </c>
      <c r="J28" s="20">
        <f t="shared" si="10"/>
        <v>0.15243795121806938</v>
      </c>
      <c r="K28" s="20">
        <f t="shared" si="10"/>
        <v>0.18388110009570438</v>
      </c>
      <c r="L28" s="20">
        <f t="shared" si="10"/>
        <v>0.14017882581117827</v>
      </c>
      <c r="M28" s="20">
        <f t="shared" si="10"/>
        <v>0.17743988817074141</v>
      </c>
    </row>
    <row r="30" spans="2:13" x14ac:dyDescent="0.25">
      <c r="B30" t="s">
        <v>8</v>
      </c>
      <c r="C30" s="22">
        <f>IFERROR('Data Sheet'!B29,0)</f>
        <v>844.49</v>
      </c>
      <c r="D30" s="22">
        <f>IFERROR('Data Sheet'!C29,0)</f>
        <v>943.29</v>
      </c>
      <c r="E30" s="22">
        <f>IFERROR('Data Sheet'!D29,0)</f>
        <v>1040.96</v>
      </c>
      <c r="F30" s="22">
        <f>IFERROR('Data Sheet'!E29,0)</f>
        <v>1098.06</v>
      </c>
      <c r="G30" s="22">
        <f>IFERROR('Data Sheet'!F29,0)</f>
        <v>854.85</v>
      </c>
      <c r="H30" s="22">
        <f>IFERROR('Data Sheet'!G29,0)</f>
        <v>1097.5999999999999</v>
      </c>
      <c r="I30" s="22">
        <f>IFERROR('Data Sheet'!H29,0)</f>
        <v>1102.9100000000001</v>
      </c>
      <c r="J30" s="22">
        <f>IFERROR('Data Sheet'!I29,0)</f>
        <v>1493.5</v>
      </c>
      <c r="K30" s="22">
        <f>IFERROR('Data Sheet'!J29,0)</f>
        <v>1790.08</v>
      </c>
      <c r="L30" s="22">
        <f>IFERROR('Data Sheet'!K29,0)</f>
        <v>1393.36</v>
      </c>
      <c r="M30" s="22">
        <f>IFERROR(SUM('Data Sheet'!H48:K48),0)</f>
        <v>1501.5400000000002</v>
      </c>
    </row>
    <row r="31" spans="2:13" x14ac:dyDescent="0.25">
      <c r="B31" s="18" t="s">
        <v>72</v>
      </c>
      <c r="C31" s="20">
        <f>C30/C27</f>
        <v>1.8471730044006766E-2</v>
      </c>
      <c r="D31" s="20">
        <f t="shared" ref="D31:M31" si="11">D30/D27</f>
        <v>0.35980912711127377</v>
      </c>
      <c r="E31" s="20">
        <f t="shared" si="11"/>
        <v>0.37149678630441052</v>
      </c>
      <c r="F31" s="20">
        <f t="shared" si="11"/>
        <v>0.36211757955103813</v>
      </c>
      <c r="G31" s="20">
        <f t="shared" si="11"/>
        <v>0.26070925360024905</v>
      </c>
      <c r="H31" s="20">
        <f t="shared" si="11"/>
        <v>0.2762856495582347</v>
      </c>
      <c r="I31" s="20">
        <f t="shared" si="11"/>
        <v>0.2833903757605658</v>
      </c>
      <c r="J31" s="20">
        <f t="shared" si="11"/>
        <v>0.28407739991668862</v>
      </c>
      <c r="K31" s="20">
        <f t="shared" si="11"/>
        <v>0.27426568262290452</v>
      </c>
      <c r="L31" s="20">
        <f t="shared" si="11"/>
        <v>0.29316304953869765</v>
      </c>
      <c r="M31" s="20">
        <f t="shared" si="11"/>
        <v>0.24389863573088857</v>
      </c>
    </row>
    <row r="33" spans="1:13" x14ac:dyDescent="0.25">
      <c r="B33" s="28" t="s">
        <v>73</v>
      </c>
      <c r="C33" s="30">
        <f>IFERROR(C27-C30,0)</f>
        <v>44873.48</v>
      </c>
      <c r="D33" s="30">
        <f t="shared" ref="D33:M33" si="12">IFERROR(D27-D30,0)</f>
        <v>1678.3500000000004</v>
      </c>
      <c r="E33" s="30">
        <f t="shared" si="12"/>
        <v>1761.110000000001</v>
      </c>
      <c r="F33" s="30">
        <f t="shared" si="12"/>
        <v>1934.2700000000013</v>
      </c>
      <c r="G33" s="30">
        <f t="shared" si="12"/>
        <v>2424.0899999999979</v>
      </c>
      <c r="H33" s="30">
        <f t="shared" si="12"/>
        <v>2875.1000000000031</v>
      </c>
      <c r="I33" s="30">
        <f t="shared" si="12"/>
        <v>2788.9299999999985</v>
      </c>
      <c r="J33" s="30">
        <f t="shared" si="12"/>
        <v>3763.8699999999953</v>
      </c>
      <c r="K33" s="30">
        <f t="shared" si="12"/>
        <v>4736.7300000000014</v>
      </c>
      <c r="L33" s="30">
        <f t="shared" si="12"/>
        <v>3359.4900000000025</v>
      </c>
      <c r="M33" s="30">
        <f t="shared" si="12"/>
        <v>4654.8700000000017</v>
      </c>
    </row>
    <row r="34" spans="1:13" x14ac:dyDescent="0.25">
      <c r="B34" s="18" t="s">
        <v>74</v>
      </c>
      <c r="C34" s="20">
        <f>C33/C6</f>
        <v>0.77920227821285315</v>
      </c>
      <c r="D34" s="20">
        <f t="shared" ref="D34:M34" si="13">D33/D6</f>
        <v>0.1114294990237014</v>
      </c>
      <c r="E34" s="20">
        <f t="shared" si="13"/>
        <v>0.10467501359620324</v>
      </c>
      <c r="F34" s="20">
        <f t="shared" si="13"/>
        <v>0.1005331045060507</v>
      </c>
      <c r="G34" s="20">
        <f t="shared" si="13"/>
        <v>0.1199376584822808</v>
      </c>
      <c r="H34" s="20">
        <f t="shared" si="13"/>
        <v>0.13241504200980173</v>
      </c>
      <c r="I34" s="20">
        <f t="shared" si="13"/>
        <v>9.5835303464314917E-2</v>
      </c>
      <c r="J34" s="20">
        <f t="shared" si="13"/>
        <v>0.10913377438741322</v>
      </c>
      <c r="K34" s="20">
        <f t="shared" si="13"/>
        <v>0.13344882465650537</v>
      </c>
      <c r="L34" s="20">
        <f t="shared" si="13"/>
        <v>9.9083573755619339E-2</v>
      </c>
      <c r="M34" s="20">
        <f t="shared" si="13"/>
        <v>0.13416254152165616</v>
      </c>
    </row>
    <row r="36" spans="1:13" x14ac:dyDescent="0.25">
      <c r="B36" t="s">
        <v>38</v>
      </c>
      <c r="C36" s="23">
        <f>IFERROR('Data Sheet'!B93,0)</f>
        <v>95.92</v>
      </c>
      <c r="D36" s="23">
        <f>IFERROR('Data Sheet'!C93,0)</f>
        <v>95.92</v>
      </c>
      <c r="E36" s="23">
        <f>IFERROR('Data Sheet'!D93,0)</f>
        <v>95.92</v>
      </c>
      <c r="F36" s="23">
        <f>IFERROR('Data Sheet'!E93,0)</f>
        <v>95.92</v>
      </c>
      <c r="G36" s="23">
        <f>IFERROR('Data Sheet'!F93,0)</f>
        <v>95.92</v>
      </c>
      <c r="H36" s="23">
        <f>IFERROR('Data Sheet'!G93,0)</f>
        <v>95.92</v>
      </c>
      <c r="I36" s="23">
        <f>IFERROR('Data Sheet'!H93,0)</f>
        <v>95.92</v>
      </c>
      <c r="J36" s="23">
        <f>IFERROR('Data Sheet'!I93,0)</f>
        <v>95.92</v>
      </c>
      <c r="K36" s="23">
        <f>IFERROR('Data Sheet'!J93,0)</f>
        <v>95.92</v>
      </c>
      <c r="L36" s="23">
        <f>IFERROR('Data Sheet'!K93,0)</f>
        <v>95.92</v>
      </c>
      <c r="M36" s="15">
        <f>IFERROR('Data Sheet'!L93,0)</f>
        <v>0</v>
      </c>
    </row>
    <row r="38" spans="1:13" x14ac:dyDescent="0.25">
      <c r="B38" t="s">
        <v>75</v>
      </c>
      <c r="C38" s="22">
        <f>IFERROR(C33/C36,0)</f>
        <v>467.8219349457882</v>
      </c>
      <c r="D38" s="22">
        <f t="shared" ref="D38:M38" si="14">IFERROR(D33/D36,0)</f>
        <v>17.497393661384489</v>
      </c>
      <c r="E38" s="22">
        <f t="shared" si="14"/>
        <v>18.360195996663897</v>
      </c>
      <c r="F38" s="22">
        <f t="shared" si="14"/>
        <v>20.165450375312773</v>
      </c>
      <c r="G38" s="22">
        <f t="shared" si="14"/>
        <v>25.271997497914906</v>
      </c>
      <c r="H38" s="22">
        <f t="shared" si="14"/>
        <v>29.973936613844902</v>
      </c>
      <c r="I38" s="22">
        <f t="shared" si="14"/>
        <v>29.075583819849857</v>
      </c>
      <c r="J38" s="22">
        <f t="shared" si="14"/>
        <v>39.23967889908252</v>
      </c>
      <c r="K38" s="22">
        <f t="shared" si="14"/>
        <v>49.382089241034208</v>
      </c>
      <c r="L38" s="22">
        <f t="shared" si="14"/>
        <v>35.023874061718125</v>
      </c>
      <c r="M38" s="15">
        <f t="shared" si="14"/>
        <v>0</v>
      </c>
    </row>
    <row r="39" spans="1:13" x14ac:dyDescent="0.25">
      <c r="B39" s="18" t="s">
        <v>76</v>
      </c>
      <c r="C39" s="18"/>
      <c r="D39" s="20">
        <f>IFERROR(D38/C38-1,0)</f>
        <v>-0.96259817602735509</v>
      </c>
      <c r="E39" s="20">
        <f t="shared" ref="E39:M39" si="15">IFERROR(E38/D38-1,0)</f>
        <v>4.9310334554771629E-2</v>
      </c>
      <c r="F39" s="20">
        <f t="shared" si="15"/>
        <v>9.8324352255111824E-2</v>
      </c>
      <c r="G39" s="20">
        <f t="shared" si="15"/>
        <v>0.25323248564057566</v>
      </c>
      <c r="H39" s="20">
        <f t="shared" si="15"/>
        <v>0.1860533231026924</v>
      </c>
      <c r="I39" s="20">
        <f t="shared" si="15"/>
        <v>-2.9971131438908061E-2</v>
      </c>
      <c r="J39" s="20">
        <f t="shared" si="15"/>
        <v>0.34957492658474676</v>
      </c>
      <c r="K39" s="20">
        <f t="shared" si="15"/>
        <v>0.25847332665581102</v>
      </c>
      <c r="L39" s="20">
        <f t="shared" si="15"/>
        <v>-0.29075754792863395</v>
      </c>
      <c r="M39" s="20">
        <f t="shared" si="15"/>
        <v>-1</v>
      </c>
    </row>
    <row r="41" spans="1:13" x14ac:dyDescent="0.25">
      <c r="B41" t="s">
        <v>77</v>
      </c>
      <c r="C41" s="22">
        <f>IFERROR('Data Sheet'!B31/HistoricalFS!C36,0)</f>
        <v>7.5</v>
      </c>
      <c r="D41" s="22">
        <f>IFERROR('Data Sheet'!C31/HistoricalFS!D36,0)</f>
        <v>10.300041701417848</v>
      </c>
      <c r="E41" s="22">
        <f>IFERROR('Data Sheet'!D31/HistoricalFS!E36,0)</f>
        <v>8.6999582985821515</v>
      </c>
      <c r="F41" s="22">
        <f>IFERROR('Data Sheet'!E31/HistoricalFS!F36,0)</f>
        <v>10.5</v>
      </c>
      <c r="G41" s="22">
        <f>IFERROR('Data Sheet'!F31/HistoricalFS!G36,0)</f>
        <v>12</v>
      </c>
      <c r="H41" s="22">
        <f>IFERROR('Data Sheet'!G31/HistoricalFS!H36,0)</f>
        <v>17.849979149291077</v>
      </c>
      <c r="I41" s="22">
        <f>IFERROR('Data Sheet'!H31/HistoricalFS!I36,0)</f>
        <v>19.150020850708923</v>
      </c>
      <c r="J41" s="22">
        <f>IFERROR('Data Sheet'!I31/HistoricalFS!J36,0)</f>
        <v>25.650020850708923</v>
      </c>
      <c r="K41" s="22">
        <f>IFERROR('Data Sheet'!J31/HistoricalFS!K36,0)</f>
        <v>33.300041701417847</v>
      </c>
      <c r="L41" s="22">
        <f>IFERROR('Data Sheet'!K31/HistoricalFS!L36,0)</f>
        <v>24.80004170141785</v>
      </c>
      <c r="M41" s="22">
        <f>IFERROR('Data Sheet'!L31/HistoricalFS!M36,0)</f>
        <v>0</v>
      </c>
    </row>
    <row r="42" spans="1:13" x14ac:dyDescent="0.25">
      <c r="B42" s="18" t="s">
        <v>78</v>
      </c>
      <c r="C42" s="20">
        <f>IFERROR(C41/C38,0)</f>
        <v>1.6031740796568484E-2</v>
      </c>
      <c r="D42" s="20">
        <f t="shared" ref="D42:M42" si="16">IFERROR(D41/D38,0)</f>
        <v>0.5886614830041409</v>
      </c>
      <c r="E42" s="20">
        <f t="shared" si="16"/>
        <v>0.47384887939992359</v>
      </c>
      <c r="F42" s="20">
        <f t="shared" si="16"/>
        <v>0.52069256101785133</v>
      </c>
      <c r="G42" s="20">
        <f t="shared" si="16"/>
        <v>0.47483385517864479</v>
      </c>
      <c r="H42" s="20">
        <f t="shared" si="16"/>
        <v>0.59551667768077576</v>
      </c>
      <c r="I42" s="20">
        <f t="shared" si="16"/>
        <v>0.65862893654555732</v>
      </c>
      <c r="J42" s="20">
        <f t="shared" si="16"/>
        <v>0.65367560516170931</v>
      </c>
      <c r="K42" s="20">
        <f t="shared" si="16"/>
        <v>0.67433440369199826</v>
      </c>
      <c r="L42" s="20">
        <f t="shared" si="16"/>
        <v>0.70808962074600557</v>
      </c>
      <c r="M42" s="20">
        <f t="shared" si="16"/>
        <v>0</v>
      </c>
    </row>
    <row r="44" spans="1:13" x14ac:dyDescent="0.25">
      <c r="B44" t="s">
        <v>79</v>
      </c>
      <c r="C44" s="16">
        <f>IFERROR(IF(C38&gt;C41,1-C42,0),0)</f>
        <v>0.98396825920343156</v>
      </c>
      <c r="D44" s="16">
        <f t="shared" ref="D44:M44" si="17">IFERROR(IF(D38&gt;D41,1-D42,0),0)</f>
        <v>0.4113385169958591</v>
      </c>
      <c r="E44" s="16">
        <f t="shared" si="17"/>
        <v>0.52615112060007641</v>
      </c>
      <c r="F44" s="16">
        <f t="shared" si="17"/>
        <v>0.47930743898214867</v>
      </c>
      <c r="G44" s="16">
        <f t="shared" si="17"/>
        <v>0.52516614482135515</v>
      </c>
      <c r="H44" s="16">
        <f t="shared" si="17"/>
        <v>0.40448332231922424</v>
      </c>
      <c r="I44" s="16">
        <f t="shared" si="17"/>
        <v>0.34137106345444268</v>
      </c>
      <c r="J44" s="16">
        <f t="shared" si="17"/>
        <v>0.34632439483829069</v>
      </c>
      <c r="K44" s="16">
        <f t="shared" si="17"/>
        <v>0.32566559630800174</v>
      </c>
      <c r="L44" s="16">
        <f t="shared" si="17"/>
        <v>0.29191037925399443</v>
      </c>
      <c r="M44" s="16">
        <f t="shared" si="17"/>
        <v>0</v>
      </c>
    </row>
    <row r="46" spans="1:13" x14ac:dyDescent="0.25">
      <c r="A46" t="s">
        <v>57</v>
      </c>
      <c r="B46" s="11" t="s">
        <v>80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spans="1:13" x14ac:dyDescent="0.25">
      <c r="B47" t="s">
        <v>10</v>
      </c>
      <c r="C47" s="22">
        <f>IFERROR('Data Sheet'!B57,0)</f>
        <v>95.92</v>
      </c>
      <c r="D47" s="22">
        <f>IFERROR('Data Sheet'!C57,0)</f>
        <v>95.92</v>
      </c>
      <c r="E47" s="22">
        <f>IFERROR('Data Sheet'!D57,0)</f>
        <v>95.92</v>
      </c>
      <c r="F47" s="22">
        <f>IFERROR('Data Sheet'!E57,0)</f>
        <v>95.92</v>
      </c>
      <c r="G47" s="22">
        <f>IFERROR('Data Sheet'!F57,0)</f>
        <v>95.92</v>
      </c>
      <c r="H47" s="22">
        <f>IFERROR('Data Sheet'!G57,0)</f>
        <v>95.92</v>
      </c>
      <c r="I47" s="22">
        <f>IFERROR('Data Sheet'!H57,0)</f>
        <v>95.92</v>
      </c>
      <c r="J47" s="22">
        <f>IFERROR('Data Sheet'!I57,0)</f>
        <v>95.92</v>
      </c>
      <c r="K47" s="22">
        <f>IFERROR('Data Sheet'!J57,0)</f>
        <v>95.92</v>
      </c>
      <c r="L47" s="22">
        <f>IFERROR('Data Sheet'!K57,0)</f>
        <v>95.92</v>
      </c>
      <c r="M47" s="22"/>
    </row>
    <row r="48" spans="1:13" x14ac:dyDescent="0.25">
      <c r="B48" t="s">
        <v>11</v>
      </c>
      <c r="C48" s="22">
        <f>IFERROR('Data Sheet'!B58,0)</f>
        <v>6428.9</v>
      </c>
      <c r="D48" s="22">
        <f>IFERROR('Data Sheet'!C58,0)</f>
        <v>7507.97</v>
      </c>
      <c r="E48" s="22">
        <f>IFERROR('Data Sheet'!D58,0)</f>
        <v>8314.31</v>
      </c>
      <c r="F48" s="22">
        <f>IFERROR('Data Sheet'!E58,0)</f>
        <v>9374.6299999999992</v>
      </c>
      <c r="G48" s="22">
        <f>IFERROR('Data Sheet'!F58,0)</f>
        <v>10034.24</v>
      </c>
      <c r="H48" s="22">
        <f>IFERROR('Data Sheet'!G58,0)</f>
        <v>12710.37</v>
      </c>
      <c r="I48" s="22">
        <f>IFERROR('Data Sheet'!H58,0)</f>
        <v>13715.64</v>
      </c>
      <c r="J48" s="22">
        <f>IFERROR('Data Sheet'!I58,0)</f>
        <v>15896.31</v>
      </c>
      <c r="K48" s="22">
        <f>IFERROR('Data Sheet'!J58,0)</f>
        <v>18632.38</v>
      </c>
      <c r="L48" s="22">
        <f>IFERROR('Data Sheet'!K58,0)</f>
        <v>19303.89</v>
      </c>
      <c r="M48" s="22"/>
    </row>
    <row r="49" spans="2:13" x14ac:dyDescent="0.25">
      <c r="B49" t="s">
        <v>35</v>
      </c>
      <c r="C49" s="22">
        <f>IFERROR('Data Sheet'!B59,0)</f>
        <v>323.29000000000002</v>
      </c>
      <c r="D49" s="22">
        <f>IFERROR('Data Sheet'!C59,0)</f>
        <v>560.34</v>
      </c>
      <c r="E49" s="22">
        <f>IFERROR('Data Sheet'!D59,0)</f>
        <v>533.42999999999995</v>
      </c>
      <c r="F49" s="22">
        <f>IFERROR('Data Sheet'!E59,0)</f>
        <v>1319.6</v>
      </c>
      <c r="G49" s="22">
        <f>IFERROR('Data Sheet'!F59,0)</f>
        <v>1118.5</v>
      </c>
      <c r="H49" s="22">
        <f>IFERROR('Data Sheet'!G59,0)</f>
        <v>1093.1199999999999</v>
      </c>
      <c r="I49" s="22">
        <f>IFERROR('Data Sheet'!H59,0)</f>
        <v>1586.88</v>
      </c>
      <c r="J49" s="22">
        <f>IFERROR('Data Sheet'!I59,0)</f>
        <v>1932.62</v>
      </c>
      <c r="K49" s="22">
        <f>IFERROR('Data Sheet'!J59,0)</f>
        <v>2474.38</v>
      </c>
      <c r="L49" s="22">
        <f>IFERROR('Data Sheet'!K59,0)</f>
        <v>2290.29</v>
      </c>
      <c r="M49" s="22"/>
    </row>
    <row r="50" spans="2:13" x14ac:dyDescent="0.25">
      <c r="B50" t="s">
        <v>36</v>
      </c>
      <c r="C50" s="22">
        <f>IFERROR('Data Sheet'!B60,0)</f>
        <v>3710.92</v>
      </c>
      <c r="D50" s="22">
        <f>IFERROR('Data Sheet'!C60,0)</f>
        <v>4240.96</v>
      </c>
      <c r="E50" s="22">
        <f>IFERROR('Data Sheet'!D60,0)</f>
        <v>4819.82</v>
      </c>
      <c r="F50" s="22">
        <f>IFERROR('Data Sheet'!E60,0)</f>
        <v>5458.69</v>
      </c>
      <c r="G50" s="22">
        <f>IFERROR('Data Sheet'!F60,0)</f>
        <v>4889.3100000000004</v>
      </c>
      <c r="H50" s="22">
        <f>IFERROR('Data Sheet'!G60,0)</f>
        <v>6455.93</v>
      </c>
      <c r="I50" s="22">
        <f>IFERROR('Data Sheet'!H60,0)</f>
        <v>7559.99</v>
      </c>
      <c r="J50" s="22">
        <f>IFERROR('Data Sheet'!I60,0)</f>
        <v>7854.48</v>
      </c>
      <c r="K50" s="22">
        <f>IFERROR('Data Sheet'!J60,0)</f>
        <v>8698.09</v>
      </c>
      <c r="L50" s="22">
        <f>IFERROR('Data Sheet'!K60,0)</f>
        <v>8665.15</v>
      </c>
      <c r="M50" s="22"/>
    </row>
    <row r="51" spans="2:13" x14ac:dyDescent="0.25">
      <c r="B51" s="28" t="s">
        <v>54</v>
      </c>
      <c r="C51" s="29">
        <f>IFERROR('Data Sheet'!B61,0)</f>
        <v>10559.03</v>
      </c>
      <c r="D51" s="29">
        <f>IFERROR('Data Sheet'!C61,0)</f>
        <v>12405.19</v>
      </c>
      <c r="E51" s="29">
        <f>IFERROR('Data Sheet'!D61,0)</f>
        <v>13763.48</v>
      </c>
      <c r="F51" s="29">
        <f>IFERROR('Data Sheet'!E61,0)</f>
        <v>16248.84</v>
      </c>
      <c r="G51" s="29">
        <f>IFERROR('Data Sheet'!F61,0)</f>
        <v>16137.97</v>
      </c>
      <c r="H51" s="29">
        <f>IFERROR('Data Sheet'!G61,0)</f>
        <v>20355.34</v>
      </c>
      <c r="I51" s="29">
        <f>IFERROR('Data Sheet'!H61,0)</f>
        <v>22958.43</v>
      </c>
      <c r="J51" s="29">
        <f>IFERROR('Data Sheet'!I61,0)</f>
        <v>25779.33</v>
      </c>
      <c r="K51" s="29">
        <f>IFERROR('Data Sheet'!J61,0)</f>
        <v>29900.77</v>
      </c>
      <c r="L51" s="29">
        <f>IFERROR('Data Sheet'!K61,0)</f>
        <v>30355.25</v>
      </c>
      <c r="M51" s="22"/>
    </row>
    <row r="53" spans="2:13" x14ac:dyDescent="0.25">
      <c r="B53" t="s">
        <v>55</v>
      </c>
      <c r="C53" s="24">
        <f>IFERROR('Data Sheet'!B62,0)</f>
        <v>3416.35</v>
      </c>
      <c r="D53" s="24">
        <f>IFERROR('Data Sheet'!C62,0)</f>
        <v>3303.74</v>
      </c>
      <c r="E53" s="24">
        <f>IFERROR('Data Sheet'!D62,0)</f>
        <v>3732.24</v>
      </c>
      <c r="F53" s="24">
        <f>IFERROR('Data Sheet'!E62,0)</f>
        <v>6496.56</v>
      </c>
      <c r="G53" s="24">
        <f>IFERROR('Data Sheet'!F62,0)</f>
        <v>6272.31</v>
      </c>
      <c r="H53" s="24">
        <f>IFERROR('Data Sheet'!G62,0)</f>
        <v>5858.52</v>
      </c>
      <c r="I53" s="24">
        <f>IFERROR('Data Sheet'!H62,0)</f>
        <v>5519.06</v>
      </c>
      <c r="J53" s="24">
        <f>IFERROR('Data Sheet'!I62,0)</f>
        <v>5770.46</v>
      </c>
      <c r="K53" s="24">
        <f>IFERROR('Data Sheet'!J62,0)</f>
        <v>7146.62</v>
      </c>
      <c r="L53" s="24">
        <f>IFERROR('Data Sheet'!K62,0)</f>
        <v>9220.1</v>
      </c>
    </row>
    <row r="54" spans="2:13" x14ac:dyDescent="0.25">
      <c r="B54" t="s">
        <v>14</v>
      </c>
      <c r="C54" s="24">
        <f>IFERROR('Data Sheet'!B63,0)</f>
        <v>106.59</v>
      </c>
      <c r="D54" s="24">
        <f>IFERROR('Data Sheet'!C63,0)</f>
        <v>257.54000000000002</v>
      </c>
      <c r="E54" s="24">
        <f>IFERROR('Data Sheet'!D63,0)</f>
        <v>1405.11</v>
      </c>
      <c r="F54" s="24">
        <f>IFERROR('Data Sheet'!E63,0)</f>
        <v>209.67</v>
      </c>
      <c r="G54" s="24">
        <f>IFERROR('Data Sheet'!F63,0)</f>
        <v>140.24</v>
      </c>
      <c r="H54" s="24">
        <f>IFERROR('Data Sheet'!G63,0)</f>
        <v>182.98</v>
      </c>
      <c r="I54" s="24">
        <f>IFERROR('Data Sheet'!H63,0)</f>
        <v>426.43</v>
      </c>
      <c r="J54" s="24">
        <f>IFERROR('Data Sheet'!I63,0)</f>
        <v>1019.59</v>
      </c>
      <c r="K54" s="24">
        <f>IFERROR('Data Sheet'!J63,0)</f>
        <v>2698.37</v>
      </c>
      <c r="L54" s="24">
        <f>IFERROR('Data Sheet'!K63,0)</f>
        <v>1254.49</v>
      </c>
    </row>
    <row r="55" spans="2:13" x14ac:dyDescent="0.25">
      <c r="B55" t="s">
        <v>15</v>
      </c>
      <c r="C55" s="24">
        <f>IFERROR('Data Sheet'!B64,0)</f>
        <v>2712.13</v>
      </c>
      <c r="D55" s="24">
        <f>IFERROR('Data Sheet'!C64,0)</f>
        <v>2651.99</v>
      </c>
      <c r="E55" s="24">
        <f>IFERROR('Data Sheet'!D64,0)</f>
        <v>2140.6999999999998</v>
      </c>
      <c r="F55" s="24">
        <f>IFERROR('Data Sheet'!E64,0)</f>
        <v>2568.58</v>
      </c>
      <c r="G55" s="24">
        <f>IFERROR('Data Sheet'!F64,0)</f>
        <v>2018.85</v>
      </c>
      <c r="H55" s="24">
        <f>IFERROR('Data Sheet'!G64,0)</f>
        <v>4736.8</v>
      </c>
      <c r="I55" s="24">
        <f>IFERROR('Data Sheet'!H64,0)</f>
        <v>3247.53</v>
      </c>
      <c r="J55" s="24">
        <f>IFERROR('Data Sheet'!I64,0)</f>
        <v>4261.71</v>
      </c>
      <c r="K55" s="24">
        <f>IFERROR('Data Sheet'!J64,0)</f>
        <v>4587.92</v>
      </c>
      <c r="L55" s="24">
        <f>IFERROR('Data Sheet'!K64,0)</f>
        <v>4724.75</v>
      </c>
    </row>
    <row r="56" spans="2:13" x14ac:dyDescent="0.25">
      <c r="B56" t="s">
        <v>37</v>
      </c>
      <c r="C56" s="24">
        <f>IFERROR('Data Sheet'!B65-SUM('Data Sheet'!B67:B69),0)</f>
        <v>714.68000000000029</v>
      </c>
      <c r="D56" s="24">
        <f>IFERROR('Data Sheet'!C65-SUM('Data Sheet'!C67:C69),0)</f>
        <v>1317.17</v>
      </c>
      <c r="E56" s="24">
        <f>IFERROR('Data Sheet'!D65-SUM('Data Sheet'!D67:D69),0)</f>
        <v>1691.8400000000001</v>
      </c>
      <c r="F56" s="24">
        <f>IFERROR('Data Sheet'!E65-SUM('Data Sheet'!E67:E69),0)</f>
        <v>1471.9599999999991</v>
      </c>
      <c r="G56" s="24">
        <f>IFERROR('Data Sheet'!F65-SUM('Data Sheet'!F67:F69),0)</f>
        <v>1738.71</v>
      </c>
      <c r="H56" s="24">
        <f>IFERROR('Data Sheet'!G65-SUM('Data Sheet'!G67:G69),0)</f>
        <v>2565.5200000000004</v>
      </c>
      <c r="I56" s="24">
        <f>IFERROR('Data Sheet'!H65-SUM('Data Sheet'!H67:H69),0)</f>
        <v>2876.66</v>
      </c>
      <c r="J56" s="24">
        <f>IFERROR('Data Sheet'!I65-SUM('Data Sheet'!I67:I69),0)</f>
        <v>3036.17</v>
      </c>
      <c r="K56" s="24">
        <f>IFERROR('Data Sheet'!J65-SUM('Data Sheet'!J67:J69),0)</f>
        <v>3571.3900000000012</v>
      </c>
      <c r="L56" s="24">
        <f>IFERROR('Data Sheet'!K65-SUM('Data Sheet'!K67:K69),0)</f>
        <v>3341.01</v>
      </c>
    </row>
    <row r="57" spans="2:13" x14ac:dyDescent="0.25">
      <c r="B57" s="28" t="s">
        <v>56</v>
      </c>
      <c r="C57" s="29">
        <f>SUM(C53:C56)</f>
        <v>6949.75</v>
      </c>
      <c r="D57" s="29">
        <f t="shared" ref="D57:L57" si="18">SUM(D53:D56)</f>
        <v>7530.44</v>
      </c>
      <c r="E57" s="29">
        <f t="shared" si="18"/>
        <v>8969.89</v>
      </c>
      <c r="F57" s="29">
        <f t="shared" si="18"/>
        <v>10746.77</v>
      </c>
      <c r="G57" s="29">
        <f t="shared" si="18"/>
        <v>10170.11</v>
      </c>
      <c r="H57" s="29">
        <f t="shared" si="18"/>
        <v>13343.82</v>
      </c>
      <c r="I57" s="29">
        <f t="shared" si="18"/>
        <v>12069.68</v>
      </c>
      <c r="J57" s="29">
        <f t="shared" si="18"/>
        <v>14087.93</v>
      </c>
      <c r="K57" s="29">
        <f t="shared" si="18"/>
        <v>18004.300000000003</v>
      </c>
      <c r="L57" s="29">
        <f t="shared" si="18"/>
        <v>18540.349999999999</v>
      </c>
    </row>
    <row r="59" spans="2:13" x14ac:dyDescent="0.25">
      <c r="B59" t="s">
        <v>42</v>
      </c>
      <c r="C59" s="24">
        <f>IFERROR('Data Sheet'!B67,0)</f>
        <v>1186.8399999999999</v>
      </c>
      <c r="D59" s="24">
        <f>IFERROR('Data Sheet'!C67,0)</f>
        <v>1446.6</v>
      </c>
      <c r="E59" s="24">
        <f>IFERROR('Data Sheet'!D67,0)</f>
        <v>1730.63</v>
      </c>
      <c r="F59" s="24">
        <f>IFERROR('Data Sheet'!E67,0)</f>
        <v>1907.33</v>
      </c>
      <c r="G59" s="24">
        <f>IFERROR('Data Sheet'!F67,0)</f>
        <v>1795.22</v>
      </c>
      <c r="H59" s="24">
        <f>IFERROR('Data Sheet'!G67,0)</f>
        <v>2602.17</v>
      </c>
      <c r="I59" s="24">
        <f>IFERROR('Data Sheet'!H67,0)</f>
        <v>3871.44</v>
      </c>
      <c r="J59" s="24">
        <f>IFERROR('Data Sheet'!I67,0)</f>
        <v>4636.9399999999996</v>
      </c>
      <c r="K59" s="24">
        <f>IFERROR('Data Sheet'!J67,0)</f>
        <v>4889.05</v>
      </c>
      <c r="L59" s="24">
        <f>IFERROR('Data Sheet'!K67,0)</f>
        <v>4313.6499999999996</v>
      </c>
    </row>
    <row r="60" spans="2:13" x14ac:dyDescent="0.25">
      <c r="B60" t="s">
        <v>29</v>
      </c>
      <c r="C60" s="24">
        <f>IFERROR('Data Sheet'!B68,0)</f>
        <v>1998.24</v>
      </c>
      <c r="D60" s="24">
        <f>IFERROR('Data Sheet'!C68,0)</f>
        <v>2626.94</v>
      </c>
      <c r="E60" s="24">
        <f>IFERROR('Data Sheet'!D68,0)</f>
        <v>2658.31</v>
      </c>
      <c r="F60" s="24">
        <f>IFERROR('Data Sheet'!E68,0)</f>
        <v>3149.86</v>
      </c>
      <c r="G60" s="24">
        <f>IFERROR('Data Sheet'!F68,0)</f>
        <v>3389.81</v>
      </c>
      <c r="H60" s="24">
        <f>IFERROR('Data Sheet'!G68,0)</f>
        <v>3798.6</v>
      </c>
      <c r="I60" s="24">
        <f>IFERROR('Data Sheet'!H68,0)</f>
        <v>6152.98</v>
      </c>
      <c r="J60" s="24">
        <f>IFERROR('Data Sheet'!I68,0)</f>
        <v>6210.64</v>
      </c>
      <c r="K60" s="24">
        <f>IFERROR('Data Sheet'!J68,0)</f>
        <v>5923.41</v>
      </c>
      <c r="L60" s="24">
        <f>IFERROR('Data Sheet'!K68,0)</f>
        <v>6719.27</v>
      </c>
    </row>
    <row r="61" spans="2:13" x14ac:dyDescent="0.25">
      <c r="B61" t="s">
        <v>51</v>
      </c>
      <c r="C61" s="24">
        <f>IFERROR('Data Sheet'!B69,0)</f>
        <v>424.2</v>
      </c>
      <c r="D61" s="24">
        <f>IFERROR('Data Sheet'!C69,0)</f>
        <v>801.21</v>
      </c>
      <c r="E61" s="24">
        <f>IFERROR('Data Sheet'!D69,0)</f>
        <v>404.65</v>
      </c>
      <c r="F61" s="24">
        <f>IFERROR('Data Sheet'!E69,0)</f>
        <v>444.88</v>
      </c>
      <c r="G61" s="24">
        <f>IFERROR('Data Sheet'!F69,0)</f>
        <v>782.83</v>
      </c>
      <c r="H61" s="24">
        <f>IFERROR('Data Sheet'!G69,0)</f>
        <v>610.75</v>
      </c>
      <c r="I61" s="24">
        <f>IFERROR('Data Sheet'!H69,0)</f>
        <v>864.33</v>
      </c>
      <c r="J61" s="24">
        <f>IFERROR('Data Sheet'!I69,0)</f>
        <v>843.82</v>
      </c>
      <c r="K61" s="24">
        <f>IFERROR('Data Sheet'!J69,0)</f>
        <v>1084.01</v>
      </c>
      <c r="L61" s="24">
        <f>IFERROR('Data Sheet'!K69,0)</f>
        <v>781.98</v>
      </c>
    </row>
    <row r="62" spans="2:13" x14ac:dyDescent="0.25">
      <c r="B62" s="28" t="s">
        <v>81</v>
      </c>
      <c r="C62" s="29">
        <f>IFERROR(SUM(C59:C61),0)</f>
        <v>3609.2799999999997</v>
      </c>
      <c r="D62" s="29">
        <f t="shared" ref="D62:L62" si="19">IFERROR(SUM(D59:D61),0)</f>
        <v>4874.75</v>
      </c>
      <c r="E62" s="29">
        <f t="shared" si="19"/>
        <v>4793.59</v>
      </c>
      <c r="F62" s="29">
        <f t="shared" si="19"/>
        <v>5502.0700000000006</v>
      </c>
      <c r="G62" s="29">
        <f t="shared" si="19"/>
        <v>5967.86</v>
      </c>
      <c r="H62" s="29">
        <f t="shared" si="19"/>
        <v>7011.52</v>
      </c>
      <c r="I62" s="29">
        <f t="shared" si="19"/>
        <v>10888.75</v>
      </c>
      <c r="J62" s="29">
        <f t="shared" si="19"/>
        <v>11691.4</v>
      </c>
      <c r="K62" s="29">
        <f t="shared" si="19"/>
        <v>11896.47</v>
      </c>
      <c r="L62" s="29">
        <f t="shared" si="19"/>
        <v>11814.9</v>
      </c>
    </row>
    <row r="64" spans="2:13" x14ac:dyDescent="0.25">
      <c r="B64" s="28" t="s">
        <v>82</v>
      </c>
      <c r="C64" s="29">
        <f>IFERROR(C62+C57,0)</f>
        <v>10559.029999999999</v>
      </c>
      <c r="D64" s="29">
        <f t="shared" ref="D64:L64" si="20">IFERROR(D62+D57,0)</f>
        <v>12405.189999999999</v>
      </c>
      <c r="E64" s="29">
        <f t="shared" si="20"/>
        <v>13763.48</v>
      </c>
      <c r="F64" s="29">
        <f t="shared" si="20"/>
        <v>16248.84</v>
      </c>
      <c r="G64" s="29">
        <f t="shared" si="20"/>
        <v>16137.970000000001</v>
      </c>
      <c r="H64" s="29">
        <f t="shared" si="20"/>
        <v>20355.34</v>
      </c>
      <c r="I64" s="29">
        <f t="shared" si="20"/>
        <v>22958.43</v>
      </c>
      <c r="J64" s="29">
        <f t="shared" si="20"/>
        <v>25779.33</v>
      </c>
      <c r="K64" s="29">
        <f t="shared" si="20"/>
        <v>29900.770000000004</v>
      </c>
      <c r="L64" s="29">
        <f t="shared" si="20"/>
        <v>30355.25</v>
      </c>
    </row>
    <row r="66" spans="1:13" x14ac:dyDescent="0.25">
      <c r="B66" s="17" t="s">
        <v>83</v>
      </c>
      <c r="C66" s="17" t="b">
        <f>C64=C51</f>
        <v>1</v>
      </c>
      <c r="D66" s="17" t="b">
        <f t="shared" ref="D66:L66" si="21">D64=D51</f>
        <v>1</v>
      </c>
      <c r="E66" s="17" t="b">
        <f t="shared" si="21"/>
        <v>1</v>
      </c>
      <c r="F66" s="17" t="b">
        <f t="shared" si="21"/>
        <v>1</v>
      </c>
      <c r="G66" s="17" t="b">
        <f t="shared" si="21"/>
        <v>1</v>
      </c>
      <c r="H66" s="17" t="b">
        <f t="shared" si="21"/>
        <v>1</v>
      </c>
      <c r="I66" s="17" t="b">
        <f t="shared" si="21"/>
        <v>1</v>
      </c>
      <c r="J66" s="17" t="b">
        <f t="shared" si="21"/>
        <v>1</v>
      </c>
      <c r="K66" s="17" t="b">
        <f t="shared" si="21"/>
        <v>1</v>
      </c>
      <c r="L66" s="17" t="b">
        <f t="shared" si="21"/>
        <v>1</v>
      </c>
    </row>
    <row r="68" spans="1:13" x14ac:dyDescent="0.25">
      <c r="A68" t="s">
        <v>57</v>
      </c>
      <c r="B68" s="11" t="s">
        <v>84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spans="1:13" x14ac:dyDescent="0.25">
      <c r="B69" s="10" t="s">
        <v>85</v>
      </c>
    </row>
    <row r="70" spans="1:13" x14ac:dyDescent="0.25">
      <c r="B70" t="s">
        <v>86</v>
      </c>
      <c r="C70" s="15">
        <f>IFERROR('Cash Flow Data'!D4,0)</f>
        <v>6779</v>
      </c>
      <c r="D70" s="15">
        <f>IFERROR('Cash Flow Data'!E4,0)</f>
        <v>8935</v>
      </c>
      <c r="E70" s="15">
        <f>IFERROR('Cash Flow Data'!F4,0)</f>
        <v>10413</v>
      </c>
      <c r="F70" s="15">
        <f>IFERROR('Cash Flow Data'!G4,0)</f>
        <v>12036</v>
      </c>
      <c r="G70" s="15">
        <f>IFERROR('Cash Flow Data'!H4,0)</f>
        <v>11060</v>
      </c>
      <c r="H70" s="15">
        <f>IFERROR('Cash Flow Data'!I4,0)</f>
        <v>7503</v>
      </c>
      <c r="I70" s="15">
        <f>IFERROR('Cash Flow Data'!J4,0)</f>
        <v>5531</v>
      </c>
      <c r="J70" s="15">
        <f>IFERROR('Cash Flow Data'!K4,0)</f>
        <v>5832</v>
      </c>
      <c r="K70" s="15">
        <f>IFERROR('Cash Flow Data'!L4,0)</f>
        <v>11112</v>
      </c>
      <c r="L70" s="15">
        <f>IFERROR('Cash Flow Data'!M4,0)</f>
        <v>18676</v>
      </c>
    </row>
    <row r="71" spans="1:13" x14ac:dyDescent="0.25">
      <c r="B71" t="s">
        <v>42</v>
      </c>
      <c r="C71" s="15">
        <f>IFERROR('Cash Flow Data'!D5,0)</f>
        <v>345</v>
      </c>
      <c r="D71" s="15">
        <f>IFERROR('Cash Flow Data'!E5,0)</f>
        <v>-204</v>
      </c>
      <c r="E71" s="15">
        <f>IFERROR('Cash Flow Data'!F5,0)</f>
        <v>122</v>
      </c>
      <c r="F71" s="15">
        <f>IFERROR('Cash Flow Data'!G5,0)</f>
        <v>-262</v>
      </c>
      <c r="G71" s="15">
        <f>IFERROR('Cash Flow Data'!H5,0)</f>
        <v>-851</v>
      </c>
      <c r="H71" s="15">
        <f>IFERROR('Cash Flow Data'!I5,0)</f>
        <v>340</v>
      </c>
      <c r="I71" s="15">
        <f>IFERROR('Cash Flow Data'!J5,0)</f>
        <v>696</v>
      </c>
      <c r="J71" s="15">
        <f>IFERROR('Cash Flow Data'!K5,0)</f>
        <v>-764</v>
      </c>
      <c r="K71" s="15">
        <f>IFERROR('Cash Flow Data'!L5,0)</f>
        <v>-1258</v>
      </c>
      <c r="L71" s="15">
        <f>IFERROR('Cash Flow Data'!M5,0)</f>
        <v>-1316</v>
      </c>
    </row>
    <row r="72" spans="1:13" x14ac:dyDescent="0.25">
      <c r="B72" t="s">
        <v>29</v>
      </c>
      <c r="C72" s="15">
        <f>IFERROR('Cash Flow Data'!D6,0)</f>
        <v>-982</v>
      </c>
      <c r="D72" s="15">
        <f>IFERROR('Cash Flow Data'!E6,0)</f>
        <v>-450</v>
      </c>
      <c r="E72" s="15">
        <f>IFERROR('Cash Flow Data'!F6,0)</f>
        <v>-131</v>
      </c>
      <c r="F72" s="15">
        <f>IFERROR('Cash Flow Data'!G6,0)</f>
        <v>104</v>
      </c>
      <c r="G72" s="15">
        <f>IFERROR('Cash Flow Data'!H6,0)</f>
        <v>-162</v>
      </c>
      <c r="H72" s="15">
        <f>IFERROR('Cash Flow Data'!I6,0)</f>
        <v>109</v>
      </c>
      <c r="I72" s="15">
        <f>IFERROR('Cash Flow Data'!J6,0)</f>
        <v>165</v>
      </c>
      <c r="J72" s="15">
        <f>IFERROR('Cash Flow Data'!K6,0)</f>
        <v>-483</v>
      </c>
      <c r="K72" s="15">
        <f>IFERROR('Cash Flow Data'!L6,0)</f>
        <v>-751</v>
      </c>
      <c r="L72" s="15">
        <f>IFERROR('Cash Flow Data'!M6,0)</f>
        <v>125</v>
      </c>
    </row>
    <row r="73" spans="1:13" x14ac:dyDescent="0.25">
      <c r="B73" t="s">
        <v>87</v>
      </c>
      <c r="C73" s="15">
        <f>IFERROR('Cash Flow Data'!D7,0)</f>
        <v>712</v>
      </c>
      <c r="D73" s="15">
        <f>IFERROR('Cash Flow Data'!E7,0)</f>
        <v>1789</v>
      </c>
      <c r="E73" s="15">
        <f>IFERROR('Cash Flow Data'!F7,0)</f>
        <v>979</v>
      </c>
      <c r="F73" s="15">
        <f>IFERROR('Cash Flow Data'!G7,0)</f>
        <v>2128</v>
      </c>
      <c r="G73" s="15">
        <f>IFERROR('Cash Flow Data'!H7,0)</f>
        <v>-858</v>
      </c>
      <c r="H73" s="15">
        <f>IFERROR('Cash Flow Data'!I7,0)</f>
        <v>-2155</v>
      </c>
      <c r="I73" s="15">
        <f>IFERROR('Cash Flow Data'!J7,0)</f>
        <v>2680</v>
      </c>
      <c r="J73" s="15">
        <f>IFERROR('Cash Flow Data'!K7,0)</f>
        <v>-396</v>
      </c>
      <c r="K73" s="15">
        <f>IFERROR('Cash Flow Data'!L7,0)</f>
        <v>2008</v>
      </c>
      <c r="L73" s="15">
        <f>IFERROR('Cash Flow Data'!M7,0)</f>
        <v>3321</v>
      </c>
    </row>
    <row r="74" spans="1:13" x14ac:dyDescent="0.25">
      <c r="B74" t="s">
        <v>88</v>
      </c>
      <c r="C74" s="15">
        <f>IFERROR('Cash Flow Data'!D8,0)</f>
        <v>23</v>
      </c>
      <c r="D74" s="15">
        <f>IFERROR('Cash Flow Data'!E8,0)</f>
        <v>-1</v>
      </c>
      <c r="E74" s="15">
        <f>IFERROR('Cash Flow Data'!F8,0)</f>
        <v>1</v>
      </c>
      <c r="F74" s="15">
        <f>IFERROR('Cash Flow Data'!G8,0)</f>
        <v>0</v>
      </c>
      <c r="G74" s="15">
        <f>IFERROR('Cash Flow Data'!H8,0)</f>
        <v>-13</v>
      </c>
      <c r="H74" s="15">
        <f>IFERROR('Cash Flow Data'!I8,0)</f>
        <v>-1</v>
      </c>
      <c r="I74" s="15">
        <f>IFERROR('Cash Flow Data'!J8,0)</f>
        <v>-6</v>
      </c>
      <c r="J74" s="15">
        <f>IFERROR('Cash Flow Data'!K8,0)</f>
        <v>-8</v>
      </c>
      <c r="K74" s="15">
        <f>IFERROR('Cash Flow Data'!L8,0)</f>
        <v>1</v>
      </c>
      <c r="L74" s="15">
        <f>IFERROR('Cash Flow Data'!M8,0)</f>
        <v>-3</v>
      </c>
    </row>
    <row r="75" spans="1:13" x14ac:dyDescent="0.25">
      <c r="B75" t="s">
        <v>89</v>
      </c>
      <c r="C75" s="15">
        <f>IFERROR('Cash Flow Data'!D9,0)</f>
        <v>648</v>
      </c>
      <c r="D75" s="15">
        <f>IFERROR('Cash Flow Data'!E9,0)</f>
        <v>325</v>
      </c>
      <c r="E75" s="15">
        <f>IFERROR('Cash Flow Data'!F9,0)</f>
        <v>1222</v>
      </c>
      <c r="F75" s="15">
        <f>IFERROR('Cash Flow Data'!G9,0)</f>
        <v>839</v>
      </c>
      <c r="G75" s="15">
        <f>IFERROR('Cash Flow Data'!H9,0)</f>
        <v>569</v>
      </c>
      <c r="H75" s="15">
        <f>IFERROR('Cash Flow Data'!I9,0)</f>
        <v>-863</v>
      </c>
      <c r="I75" s="15">
        <f>IFERROR('Cash Flow Data'!J9,0)</f>
        <v>801</v>
      </c>
      <c r="J75" s="15">
        <f>IFERROR('Cash Flow Data'!K9,0)</f>
        <v>-1162</v>
      </c>
      <c r="K75" s="15">
        <f>IFERROR('Cash Flow Data'!L9,0)</f>
        <v>374</v>
      </c>
      <c r="L75" s="15">
        <f>IFERROR('Cash Flow Data'!M9,0)</f>
        <v>-406</v>
      </c>
    </row>
    <row r="76" spans="1:13" x14ac:dyDescent="0.25">
      <c r="B76" t="s">
        <v>90</v>
      </c>
      <c r="C76" s="15">
        <f>IFERROR('Cash Flow Data'!D10,0)</f>
        <v>745</v>
      </c>
      <c r="D76" s="15">
        <f>IFERROR('Cash Flow Data'!E10,0)</f>
        <v>1460</v>
      </c>
      <c r="E76" s="15">
        <f>IFERROR('Cash Flow Data'!F10,0)</f>
        <v>2192</v>
      </c>
      <c r="F76" s="15">
        <f>IFERROR('Cash Flow Data'!G10,0)</f>
        <v>2808</v>
      </c>
      <c r="G76" s="15">
        <f>IFERROR('Cash Flow Data'!H10,0)</f>
        <v>-1315</v>
      </c>
      <c r="H76" s="15">
        <f>IFERROR('Cash Flow Data'!I10,0)</f>
        <v>-2570</v>
      </c>
      <c r="I76" s="15">
        <f>IFERROR('Cash Flow Data'!J10,0)</f>
        <v>4336</v>
      </c>
      <c r="J76" s="15">
        <f>IFERROR('Cash Flow Data'!K10,0)</f>
        <v>-2813</v>
      </c>
      <c r="K76" s="15">
        <f>IFERROR('Cash Flow Data'!L10,0)</f>
        <v>373</v>
      </c>
      <c r="L76" s="15">
        <f>IFERROR('Cash Flow Data'!M10,0)</f>
        <v>1722</v>
      </c>
    </row>
    <row r="77" spans="1:13" x14ac:dyDescent="0.25">
      <c r="B77" t="s">
        <v>91</v>
      </c>
      <c r="C77" s="15">
        <f>IFERROR('Cash Flow Data'!D11,0)</f>
        <v>-1075</v>
      </c>
      <c r="D77" s="15">
        <f>IFERROR('Cash Flow Data'!E11,0)</f>
        <v>-1912</v>
      </c>
      <c r="E77" s="15">
        <f>IFERROR('Cash Flow Data'!F11,0)</f>
        <v>-2323</v>
      </c>
      <c r="F77" s="15">
        <f>IFERROR('Cash Flow Data'!G11,0)</f>
        <v>-3056</v>
      </c>
      <c r="G77" s="15">
        <f>IFERROR('Cash Flow Data'!H11,0)</f>
        <v>-3144</v>
      </c>
      <c r="H77" s="15">
        <f>IFERROR('Cash Flow Data'!I11,0)</f>
        <v>-1438</v>
      </c>
      <c r="I77" s="15">
        <f>IFERROR('Cash Flow Data'!J11,0)</f>
        <v>-1011</v>
      </c>
      <c r="J77" s="15">
        <f>IFERROR('Cash Flow Data'!K11,0)</f>
        <v>-1178</v>
      </c>
      <c r="K77" s="15">
        <f>IFERROR('Cash Flow Data'!L11,0)</f>
        <v>-2233</v>
      </c>
      <c r="L77" s="15">
        <f>IFERROR('Cash Flow Data'!M11,0)</f>
        <v>-3597</v>
      </c>
    </row>
    <row r="78" spans="1:13" x14ac:dyDescent="0.25">
      <c r="B78" s="10" t="s">
        <v>92</v>
      </c>
      <c r="C78" s="27">
        <f>SUM(C70:C77)</f>
        <v>7195</v>
      </c>
      <c r="D78" s="27">
        <f t="shared" ref="D78:L78" si="22">SUM(D70:D77)</f>
        <v>9942</v>
      </c>
      <c r="E78" s="27">
        <f t="shared" si="22"/>
        <v>12475</v>
      </c>
      <c r="F78" s="27">
        <f t="shared" si="22"/>
        <v>14597</v>
      </c>
      <c r="G78" s="27">
        <f t="shared" si="22"/>
        <v>5286</v>
      </c>
      <c r="H78" s="27">
        <f t="shared" si="22"/>
        <v>925</v>
      </c>
      <c r="I78" s="27">
        <f t="shared" si="22"/>
        <v>13192</v>
      </c>
      <c r="J78" s="27">
        <f t="shared" si="22"/>
        <v>-972</v>
      </c>
      <c r="K78" s="27">
        <f t="shared" si="22"/>
        <v>9626</v>
      </c>
      <c r="L78" s="27">
        <f t="shared" si="22"/>
        <v>18522</v>
      </c>
    </row>
    <row r="80" spans="1:13" x14ac:dyDescent="0.25">
      <c r="B80" s="10" t="s">
        <v>93</v>
      </c>
      <c r="C80" s="13"/>
    </row>
    <row r="81" spans="2:12" x14ac:dyDescent="0.25">
      <c r="B81" t="s">
        <v>94</v>
      </c>
      <c r="C81" s="15">
        <f>IFERROR('Cash Flow Data'!D13,0)</f>
        <v>-3058</v>
      </c>
      <c r="D81" s="15">
        <f>IFERROR('Cash Flow Data'!E13,0)</f>
        <v>-2469</v>
      </c>
      <c r="E81" s="15">
        <f>IFERROR('Cash Flow Data'!F13,0)</f>
        <v>-3391</v>
      </c>
      <c r="F81" s="15">
        <f>IFERROR('Cash Flow Data'!G13,0)</f>
        <v>-3912</v>
      </c>
      <c r="G81" s="15">
        <f>IFERROR('Cash Flow Data'!H13,0)</f>
        <v>-4872</v>
      </c>
      <c r="H81" s="15">
        <f>IFERROR('Cash Flow Data'!I13,0)</f>
        <v>-3437</v>
      </c>
      <c r="I81" s="15">
        <f>IFERROR('Cash Flow Data'!J13,0)</f>
        <v>-2370</v>
      </c>
      <c r="J81" s="15">
        <f>IFERROR('Cash Flow Data'!K13,0)</f>
        <v>-3459</v>
      </c>
      <c r="K81" s="15">
        <f>IFERROR('Cash Flow Data'!L13,0)</f>
        <v>-6347</v>
      </c>
      <c r="L81" s="15">
        <f>IFERROR('Cash Flow Data'!M13,0)</f>
        <v>-9200</v>
      </c>
    </row>
    <row r="82" spans="2:12" x14ac:dyDescent="0.25">
      <c r="B82" t="s">
        <v>95</v>
      </c>
      <c r="C82" s="15">
        <f>IFERROR('Cash Flow Data'!D14,0)</f>
        <v>16</v>
      </c>
      <c r="D82" s="15">
        <f>IFERROR('Cash Flow Data'!E14,0)</f>
        <v>12</v>
      </c>
      <c r="E82" s="15">
        <f>IFERROR('Cash Flow Data'!F14,0)</f>
        <v>16</v>
      </c>
      <c r="F82" s="15">
        <f>IFERROR('Cash Flow Data'!G14,0)</f>
        <v>26</v>
      </c>
      <c r="G82" s="15">
        <f>IFERROR('Cash Flow Data'!H14,0)</f>
        <v>170</v>
      </c>
      <c r="H82" s="15">
        <f>IFERROR('Cash Flow Data'!I14,0)</f>
        <v>37</v>
      </c>
      <c r="I82" s="15">
        <f>IFERROR('Cash Flow Data'!J14,0)</f>
        <v>42</v>
      </c>
      <c r="J82" s="15">
        <f>IFERROR('Cash Flow Data'!K14,0)</f>
        <v>136</v>
      </c>
      <c r="K82" s="15">
        <f>IFERROR('Cash Flow Data'!L14,0)</f>
        <v>100</v>
      </c>
      <c r="L82" s="15">
        <f>IFERROR('Cash Flow Data'!M14,0)</f>
        <v>45</v>
      </c>
    </row>
    <row r="83" spans="2:12" x14ac:dyDescent="0.25">
      <c r="B83" t="s">
        <v>96</v>
      </c>
      <c r="C83" s="15">
        <f>IFERROR('Cash Flow Data'!D15,0)</f>
        <v>-17354</v>
      </c>
      <c r="D83" s="15">
        <f>IFERROR('Cash Flow Data'!E15,0)</f>
        <v>-12044</v>
      </c>
      <c r="E83" s="15">
        <f>IFERROR('Cash Flow Data'!F15,0)</f>
        <v>-17716</v>
      </c>
      <c r="F83" s="15">
        <f>IFERROR('Cash Flow Data'!G15,0)</f>
        <v>-47069</v>
      </c>
      <c r="G83" s="15">
        <f>IFERROR('Cash Flow Data'!H15,0)</f>
        <v>-52957</v>
      </c>
      <c r="H83" s="15">
        <f>IFERROR('Cash Flow Data'!I15,0)</f>
        <v>-44205</v>
      </c>
      <c r="I83" s="15">
        <f>IFERROR('Cash Flow Data'!J15,0)</f>
        <v>-44869</v>
      </c>
      <c r="J83" s="15">
        <f>IFERROR('Cash Flow Data'!K15,0)</f>
        <v>-60525</v>
      </c>
      <c r="K83" s="15">
        <f>IFERROR('Cash Flow Data'!L15,0)</f>
        <v>-66597</v>
      </c>
      <c r="L83" s="15">
        <f>IFERROR('Cash Flow Data'!M15,0)</f>
        <v>-65736</v>
      </c>
    </row>
    <row r="84" spans="2:12" x14ac:dyDescent="0.25">
      <c r="B84" t="s">
        <v>97</v>
      </c>
      <c r="C84" s="15">
        <f>IFERROR('Cash Flow Data'!D16,0)</f>
        <v>15270</v>
      </c>
      <c r="D84" s="15">
        <f>IFERROR('Cash Flow Data'!E16,0)</f>
        <v>7378</v>
      </c>
      <c r="E84" s="15">
        <f>IFERROR('Cash Flow Data'!F16,0)</f>
        <v>11839</v>
      </c>
      <c r="F84" s="15">
        <f>IFERROR('Cash Flow Data'!G16,0)</f>
        <v>42564</v>
      </c>
      <c r="G84" s="15">
        <f>IFERROR('Cash Flow Data'!H16,0)</f>
        <v>53986</v>
      </c>
      <c r="H84" s="15">
        <f>IFERROR('Cash Flow Data'!I16,0)</f>
        <v>46969</v>
      </c>
      <c r="I84" s="15">
        <f>IFERROR('Cash Flow Data'!J16,0)</f>
        <v>42920</v>
      </c>
      <c r="J84" s="15">
        <f>IFERROR('Cash Flow Data'!K16,0)</f>
        <v>63579</v>
      </c>
      <c r="K84" s="15">
        <f>IFERROR('Cash Flow Data'!L16,0)</f>
        <v>61605</v>
      </c>
      <c r="L84" s="15">
        <f>IFERROR('Cash Flow Data'!M16,0)</f>
        <v>61933</v>
      </c>
    </row>
    <row r="85" spans="2:12" x14ac:dyDescent="0.25">
      <c r="B85" t="s">
        <v>98</v>
      </c>
      <c r="C85" s="15">
        <f>IFERROR('Cash Flow Data'!D17,0)</f>
        <v>152</v>
      </c>
      <c r="D85" s="15">
        <f>IFERROR('Cash Flow Data'!E17,0)</f>
        <v>67</v>
      </c>
      <c r="E85" s="15">
        <f>IFERROR('Cash Flow Data'!F17,0)</f>
        <v>36</v>
      </c>
      <c r="F85" s="15">
        <f>IFERROR('Cash Flow Data'!G17,0)</f>
        <v>68</v>
      </c>
      <c r="G85" s="15">
        <f>IFERROR('Cash Flow Data'!H17,0)</f>
        <v>124</v>
      </c>
      <c r="H85" s="15">
        <f>IFERROR('Cash Flow Data'!I17,0)</f>
        <v>96</v>
      </c>
      <c r="I85" s="15">
        <f>IFERROR('Cash Flow Data'!J17,0)</f>
        <v>67</v>
      </c>
      <c r="J85" s="15">
        <f>IFERROR('Cash Flow Data'!K17,0)</f>
        <v>174</v>
      </c>
      <c r="K85" s="15">
        <f>IFERROR('Cash Flow Data'!L17,0)</f>
        <v>194</v>
      </c>
      <c r="L85" s="15">
        <f>IFERROR('Cash Flow Data'!M17,0)</f>
        <v>372</v>
      </c>
    </row>
    <row r="86" spans="2:12" x14ac:dyDescent="0.25">
      <c r="B86" t="s">
        <v>99</v>
      </c>
      <c r="C86" s="15">
        <f>IFERROR('Cash Flow Data'!D18,0)</f>
        <v>54</v>
      </c>
      <c r="D86" s="15">
        <f>IFERROR('Cash Flow Data'!E18,0)</f>
        <v>11</v>
      </c>
      <c r="E86" s="15">
        <f>IFERROR('Cash Flow Data'!F18,0)</f>
        <v>13</v>
      </c>
      <c r="F86" s="15">
        <f>IFERROR('Cash Flow Data'!G18,0)</f>
        <v>20</v>
      </c>
      <c r="G86" s="15">
        <f>IFERROR('Cash Flow Data'!H18,0)</f>
        <v>9</v>
      </c>
      <c r="H86" s="15">
        <f>IFERROR('Cash Flow Data'!I18,0)</f>
        <v>4</v>
      </c>
      <c r="I86" s="15">
        <f>IFERROR('Cash Flow Data'!J18,0)</f>
        <v>3</v>
      </c>
      <c r="J86" s="15">
        <f>IFERROR('Cash Flow Data'!K18,0)</f>
        <v>3</v>
      </c>
      <c r="K86" s="15">
        <f>IFERROR('Cash Flow Data'!L18,0)</f>
        <v>6</v>
      </c>
      <c r="L86" s="15">
        <f>IFERROR('Cash Flow Data'!M18,0)</f>
        <v>6</v>
      </c>
    </row>
    <row r="87" spans="2:12" x14ac:dyDescent="0.25">
      <c r="B87" t="s">
        <v>100</v>
      </c>
      <c r="C87" s="15">
        <f>IFERROR('Cash Flow Data'!D19,0)</f>
        <v>0</v>
      </c>
      <c r="D87" s="15">
        <f>IFERROR('Cash Flow Data'!E19,0)</f>
        <v>0</v>
      </c>
      <c r="E87" s="15">
        <f>IFERROR('Cash Flow Data'!F19,0)</f>
        <v>22</v>
      </c>
      <c r="F87" s="15">
        <f>IFERROR('Cash Flow Data'!G19,0)</f>
        <v>0</v>
      </c>
      <c r="G87" s="15">
        <f>IFERROR('Cash Flow Data'!H19,0)</f>
        <v>0</v>
      </c>
      <c r="H87" s="15">
        <f>IFERROR('Cash Flow Data'!I19,0)</f>
        <v>0</v>
      </c>
      <c r="I87" s="15">
        <f>IFERROR('Cash Flow Data'!J19,0)</f>
        <v>0</v>
      </c>
      <c r="J87" s="15">
        <f>IFERROR('Cash Flow Data'!K19,0)</f>
        <v>0</v>
      </c>
      <c r="K87" s="15">
        <f>IFERROR('Cash Flow Data'!L19,0)</f>
        <v>0</v>
      </c>
      <c r="L87" s="15">
        <f>IFERROR('Cash Flow Data'!M19,0)</f>
        <v>0</v>
      </c>
    </row>
    <row r="88" spans="2:12" x14ac:dyDescent="0.25">
      <c r="B88" t="s">
        <v>101</v>
      </c>
      <c r="C88" s="15">
        <f>IFERROR('Cash Flow Data'!D20,0)</f>
        <v>0</v>
      </c>
      <c r="D88" s="15">
        <f>IFERROR('Cash Flow Data'!E20,0)</f>
        <v>0</v>
      </c>
      <c r="E88" s="15">
        <f>IFERROR('Cash Flow Data'!F20,0)</f>
        <v>0</v>
      </c>
      <c r="F88" s="15">
        <f>IFERROR('Cash Flow Data'!G20,0)</f>
        <v>0</v>
      </c>
      <c r="G88" s="15">
        <f>IFERROR('Cash Flow Data'!H20,0)</f>
        <v>0</v>
      </c>
      <c r="H88" s="15">
        <f>IFERROR('Cash Flow Data'!I20,0)</f>
        <v>-15</v>
      </c>
      <c r="I88" s="15">
        <f>IFERROR('Cash Flow Data'!J20,0)</f>
        <v>-65</v>
      </c>
      <c r="J88" s="15">
        <f>IFERROR('Cash Flow Data'!K20,0)</f>
        <v>-146</v>
      </c>
      <c r="K88" s="15">
        <f>IFERROR('Cash Flow Data'!L20,0)</f>
        <v>0</v>
      </c>
      <c r="L88" s="15">
        <f>IFERROR('Cash Flow Data'!M20,0)</f>
        <v>-80</v>
      </c>
    </row>
    <row r="89" spans="2:12" x14ac:dyDescent="0.25">
      <c r="B89" t="s">
        <v>102</v>
      </c>
      <c r="C89" s="15">
        <f>IFERROR('Cash Flow Data'!D21,0)</f>
        <v>428</v>
      </c>
      <c r="D89" s="15">
        <f>IFERROR('Cash Flow Data'!E21,0)</f>
        <v>-186</v>
      </c>
      <c r="E89" s="15">
        <f>IFERROR('Cash Flow Data'!F21,0)</f>
        <v>7</v>
      </c>
      <c r="F89" s="15">
        <f>IFERROR('Cash Flow Data'!G21,0)</f>
        <v>0</v>
      </c>
      <c r="G89" s="15">
        <f>IFERROR('Cash Flow Data'!H21,0)</f>
        <v>0</v>
      </c>
      <c r="H89" s="15">
        <f>IFERROR('Cash Flow Data'!I21,0)</f>
        <v>-5</v>
      </c>
      <c r="I89" s="15">
        <f>IFERROR('Cash Flow Data'!J21,0)</f>
        <v>-3019</v>
      </c>
      <c r="J89" s="15">
        <f>IFERROR('Cash Flow Data'!K21,0)</f>
        <v>-1</v>
      </c>
      <c r="K89" s="15">
        <f>IFERROR('Cash Flow Data'!L21,0)</f>
        <v>3003</v>
      </c>
      <c r="L89" s="15">
        <f>IFERROR('Cash Flow Data'!M21,0)</f>
        <v>795</v>
      </c>
    </row>
    <row r="90" spans="2:12" x14ac:dyDescent="0.25">
      <c r="B90" s="10" t="s">
        <v>103</v>
      </c>
      <c r="C90" s="27">
        <f>SUM(C81:C89)</f>
        <v>-4492</v>
      </c>
      <c r="D90" s="27">
        <f t="shared" ref="D90:L90" si="23">SUM(D81:D89)</f>
        <v>-7231</v>
      </c>
      <c r="E90" s="27">
        <f t="shared" si="23"/>
        <v>-9174</v>
      </c>
      <c r="F90" s="27">
        <f t="shared" si="23"/>
        <v>-8303</v>
      </c>
      <c r="G90" s="27">
        <f t="shared" si="23"/>
        <v>-3540</v>
      </c>
      <c r="H90" s="27">
        <f t="shared" si="23"/>
        <v>-556</v>
      </c>
      <c r="I90" s="27">
        <f t="shared" si="23"/>
        <v>-7291</v>
      </c>
      <c r="J90" s="27">
        <f t="shared" si="23"/>
        <v>-239</v>
      </c>
      <c r="K90" s="27">
        <f t="shared" si="23"/>
        <v>-8036</v>
      </c>
      <c r="L90" s="27">
        <f t="shared" si="23"/>
        <v>-11865</v>
      </c>
    </row>
    <row r="92" spans="2:12" x14ac:dyDescent="0.25">
      <c r="B92" s="10" t="s">
        <v>104</v>
      </c>
    </row>
    <row r="93" spans="2:12" x14ac:dyDescent="0.25">
      <c r="B93" t="s">
        <v>105</v>
      </c>
      <c r="C93" s="15">
        <f>IFERROR('Cash Flow Data'!D23,0)</f>
        <v>92</v>
      </c>
      <c r="D93" s="15">
        <f>IFERROR('Cash Flow Data'!E23,0)</f>
        <v>77</v>
      </c>
      <c r="E93" s="15">
        <f>IFERROR('Cash Flow Data'!F23,0)</f>
        <v>484</v>
      </c>
      <c r="F93" s="15">
        <f>IFERROR('Cash Flow Data'!G23,0)</f>
        <v>10</v>
      </c>
      <c r="G93" s="15">
        <f>IFERROR('Cash Flow Data'!H23,0)</f>
        <v>39</v>
      </c>
      <c r="H93" s="15">
        <f>IFERROR('Cash Flow Data'!I23,0)</f>
        <v>0</v>
      </c>
      <c r="I93" s="15">
        <f>IFERROR('Cash Flow Data'!J23,0)</f>
        <v>380</v>
      </c>
      <c r="J93" s="15">
        <f>IFERROR('Cash Flow Data'!K23,0)</f>
        <v>0</v>
      </c>
      <c r="K93" s="15">
        <f>IFERROR('Cash Flow Data'!L23,0)</f>
        <v>831</v>
      </c>
      <c r="L93" s="15">
        <f>IFERROR('Cash Flow Data'!M23,0)</f>
        <v>0</v>
      </c>
    </row>
    <row r="94" spans="2:12" x14ac:dyDescent="0.25">
      <c r="B94" t="s">
        <v>106</v>
      </c>
      <c r="C94" s="15">
        <f>IFERROR('Cash Flow Data'!D24,0)</f>
        <v>-1449</v>
      </c>
      <c r="D94" s="15">
        <f>IFERROR('Cash Flow Data'!E24,0)</f>
        <v>-313</v>
      </c>
      <c r="E94" s="15">
        <f>IFERROR('Cash Flow Data'!F24,0)</f>
        <v>-231</v>
      </c>
      <c r="F94" s="15">
        <f>IFERROR('Cash Flow Data'!G24,0)</f>
        <v>-373</v>
      </c>
      <c r="G94" s="15">
        <f>IFERROR('Cash Flow Data'!H24,0)</f>
        <v>0</v>
      </c>
      <c r="H94" s="15">
        <f>IFERROR('Cash Flow Data'!I24,0)</f>
        <v>-46</v>
      </c>
      <c r="I94" s="15">
        <f>IFERROR('Cash Flow Data'!J24,0)</f>
        <v>0</v>
      </c>
      <c r="J94" s="15">
        <f>IFERROR('Cash Flow Data'!K24,0)</f>
        <v>-110</v>
      </c>
      <c r="K94" s="15">
        <f>IFERROR('Cash Flow Data'!L24,0)</f>
        <v>0</v>
      </c>
      <c r="L94" s="15">
        <f>IFERROR('Cash Flow Data'!M24,0)</f>
        <v>-1183</v>
      </c>
    </row>
    <row r="95" spans="2:12" x14ac:dyDescent="0.25">
      <c r="B95" t="s">
        <v>107</v>
      </c>
      <c r="C95" s="15">
        <f>IFERROR('Cash Flow Data'!D25,0)</f>
        <v>-222</v>
      </c>
      <c r="D95" s="15">
        <f>IFERROR('Cash Flow Data'!E25,0)</f>
        <v>-92</v>
      </c>
      <c r="E95" s="15">
        <f>IFERROR('Cash Flow Data'!F25,0)</f>
        <v>-110</v>
      </c>
      <c r="F95" s="15">
        <f>IFERROR('Cash Flow Data'!G25,0)</f>
        <v>-346</v>
      </c>
      <c r="G95" s="15">
        <f>IFERROR('Cash Flow Data'!H25,0)</f>
        <v>-73</v>
      </c>
      <c r="H95" s="15">
        <f>IFERROR('Cash Flow Data'!I25,0)</f>
        <v>-136</v>
      </c>
      <c r="I95" s="15">
        <f>IFERROR('Cash Flow Data'!J25,0)</f>
        <v>-102</v>
      </c>
      <c r="J95" s="15">
        <f>IFERROR('Cash Flow Data'!K25,0)</f>
        <v>-130</v>
      </c>
      <c r="K95" s="15">
        <f>IFERROR('Cash Flow Data'!L25,0)</f>
        <v>-186</v>
      </c>
      <c r="L95" s="15">
        <f>IFERROR('Cash Flow Data'!M25,0)</f>
        <v>-147</v>
      </c>
    </row>
    <row r="96" spans="2:12" x14ac:dyDescent="0.25">
      <c r="B96" t="s">
        <v>108</v>
      </c>
      <c r="C96" s="15">
        <f>IFERROR('Cash Flow Data'!D26,0)</f>
        <v>-362</v>
      </c>
      <c r="D96" s="15">
        <f>IFERROR('Cash Flow Data'!E26,0)</f>
        <v>-755</v>
      </c>
      <c r="E96" s="15">
        <f>IFERROR('Cash Flow Data'!F26,0)</f>
        <v>-1057</v>
      </c>
      <c r="F96" s="15">
        <f>IFERROR('Cash Flow Data'!G26,0)</f>
        <v>-2266</v>
      </c>
      <c r="G96" s="15">
        <f>IFERROR('Cash Flow Data'!H26,0)</f>
        <v>-2417</v>
      </c>
      <c r="H96" s="15">
        <f>IFERROR('Cash Flow Data'!I26,0)</f>
        <v>-2417</v>
      </c>
      <c r="I96" s="15">
        <f>IFERROR('Cash Flow Data'!J26,0)</f>
        <v>-1812</v>
      </c>
      <c r="J96" s="15">
        <f>IFERROR('Cash Flow Data'!K26,0)</f>
        <v>-1359</v>
      </c>
      <c r="K96" s="15">
        <f>IFERROR('Cash Flow Data'!L26,0)</f>
        <v>-1812</v>
      </c>
      <c r="L96" s="15">
        <f>IFERROR('Cash Flow Data'!M26,0)</f>
        <v>-2719</v>
      </c>
    </row>
    <row r="97" spans="2:12" x14ac:dyDescent="0.25">
      <c r="B97" t="s">
        <v>109</v>
      </c>
      <c r="C97" s="15">
        <f>IFERROR('Cash Flow Data'!D27,0)</f>
        <v>0</v>
      </c>
      <c r="D97" s="15">
        <f>IFERROR('Cash Flow Data'!E27,0)</f>
        <v>0</v>
      </c>
      <c r="E97" s="15">
        <f>IFERROR('Cash Flow Data'!F27,0)</f>
        <v>0</v>
      </c>
      <c r="F97" s="15">
        <f>IFERROR('Cash Flow Data'!G27,0)</f>
        <v>0</v>
      </c>
      <c r="G97" s="15">
        <f>IFERROR('Cash Flow Data'!H27,0)</f>
        <v>0</v>
      </c>
      <c r="H97" s="15">
        <f>IFERROR('Cash Flow Data'!I27,0)</f>
        <v>-10</v>
      </c>
      <c r="I97" s="15">
        <f>IFERROR('Cash Flow Data'!J27,0)</f>
        <v>-11</v>
      </c>
      <c r="J97" s="15">
        <f>IFERROR('Cash Flow Data'!K27,0)</f>
        <v>-8</v>
      </c>
      <c r="K97" s="15">
        <f>IFERROR('Cash Flow Data'!L27,0)</f>
        <v>-46</v>
      </c>
      <c r="L97" s="15">
        <f>IFERROR('Cash Flow Data'!M27,0)</f>
        <v>-13</v>
      </c>
    </row>
    <row r="98" spans="2:12" x14ac:dyDescent="0.25">
      <c r="B98" t="s">
        <v>110</v>
      </c>
      <c r="C98" s="15">
        <f>IFERROR('Cash Flow Data'!D28,0)</f>
        <v>-62</v>
      </c>
      <c r="D98" s="15">
        <f>IFERROR('Cash Flow Data'!E28,0)</f>
        <v>-154</v>
      </c>
      <c r="E98" s="15">
        <f>IFERROR('Cash Flow Data'!F28,0)</f>
        <v>-215</v>
      </c>
      <c r="F98" s="15">
        <f>IFERROR('Cash Flow Data'!G28,0)</f>
        <v>-461</v>
      </c>
      <c r="G98" s="15">
        <f>IFERROR('Cash Flow Data'!H28,0)</f>
        <v>-497</v>
      </c>
      <c r="H98" s="15">
        <f>IFERROR('Cash Flow Data'!I28,0)</f>
        <v>-497</v>
      </c>
      <c r="I98" s="15">
        <f>IFERROR('Cash Flow Data'!J28,0)</f>
        <v>0</v>
      </c>
      <c r="J98" s="15">
        <f>IFERROR('Cash Flow Data'!K28,0)</f>
        <v>0</v>
      </c>
      <c r="K98" s="15">
        <f>IFERROR('Cash Flow Data'!L28,0)</f>
        <v>0</v>
      </c>
      <c r="L98" s="15">
        <f>IFERROR('Cash Flow Data'!M28,0)</f>
        <v>0</v>
      </c>
    </row>
    <row r="99" spans="2:12" x14ac:dyDescent="0.25">
      <c r="B99" s="10" t="s">
        <v>111</v>
      </c>
      <c r="C99" s="27">
        <f>SUM(C93:C98)</f>
        <v>-2003</v>
      </c>
      <c r="D99" s="27">
        <f t="shared" ref="D99:L99" si="24">SUM(D93:D98)</f>
        <v>-1237</v>
      </c>
      <c r="E99" s="27">
        <f t="shared" si="24"/>
        <v>-1129</v>
      </c>
      <c r="F99" s="27">
        <f t="shared" si="24"/>
        <v>-3436</v>
      </c>
      <c r="G99" s="27">
        <f t="shared" si="24"/>
        <v>-2948</v>
      </c>
      <c r="H99" s="27">
        <f t="shared" si="24"/>
        <v>-3106</v>
      </c>
      <c r="I99" s="27">
        <f t="shared" si="24"/>
        <v>-1545</v>
      </c>
      <c r="J99" s="27">
        <f t="shared" si="24"/>
        <v>-1607</v>
      </c>
      <c r="K99" s="27">
        <f t="shared" si="24"/>
        <v>-1213</v>
      </c>
      <c r="L99" s="27">
        <f t="shared" si="24"/>
        <v>-4062</v>
      </c>
    </row>
    <row r="101" spans="2:12" x14ac:dyDescent="0.25">
      <c r="B101" s="10" t="s">
        <v>20</v>
      </c>
      <c r="C101" s="15">
        <f>IFERROR(C78+C90+C99,0)</f>
        <v>700</v>
      </c>
      <c r="D101" s="15">
        <f t="shared" ref="D101:L101" si="25">IFERROR(D78+D90+D99,0)</f>
        <v>1474</v>
      </c>
      <c r="E101" s="15">
        <f t="shared" si="25"/>
        <v>2172</v>
      </c>
      <c r="F101" s="15">
        <f t="shared" si="25"/>
        <v>2858</v>
      </c>
      <c r="G101" s="15">
        <f t="shared" si="25"/>
        <v>-1202</v>
      </c>
      <c r="H101" s="15">
        <f t="shared" si="25"/>
        <v>-2737</v>
      </c>
      <c r="I101" s="15">
        <f t="shared" si="25"/>
        <v>4356</v>
      </c>
      <c r="J101" s="15">
        <f t="shared" si="25"/>
        <v>-2818</v>
      </c>
      <c r="K101" s="15">
        <f t="shared" si="25"/>
        <v>377</v>
      </c>
      <c r="L101" s="15">
        <f t="shared" si="25"/>
        <v>2595</v>
      </c>
    </row>
  </sheetData>
  <mergeCells count="1">
    <mergeCell ref="B2:M2"/>
  </mergeCells>
  <pageMargins left="0.7" right="0.7" top="0.75" bottom="0.75" header="0.3" footer="0.3"/>
  <pageSetup orientation="portrait" r:id="rId1"/>
  <ignoredErrors>
    <ignoredError sqref="M9 M6 C15:M15 M24 M30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8"/>
  <sheetViews>
    <sheetView showGridLines="0" topLeftCell="A39" workbookViewId="0">
      <selection activeCell="K50" sqref="K50"/>
    </sheetView>
  </sheetViews>
  <sheetFormatPr defaultRowHeight="15" x14ac:dyDescent="0.25"/>
  <cols>
    <col min="1" max="1" width="1.85546875" customWidth="1"/>
    <col min="2" max="2" width="25.85546875" bestFit="1" customWidth="1"/>
    <col min="8" max="8" width="20.42578125" bestFit="1" customWidth="1"/>
    <col min="10" max="10" width="14.140625" bestFit="1" customWidth="1"/>
  </cols>
  <sheetData>
    <row r="2" spans="2:11" x14ac:dyDescent="0.25">
      <c r="B2" s="56" t="s">
        <v>183</v>
      </c>
      <c r="C2" s="56"/>
      <c r="D2" s="56"/>
      <c r="E2" s="56"/>
      <c r="F2" s="56"/>
      <c r="G2" s="57">
        <f>'[1]Raw FS'!J2</f>
        <v>44256</v>
      </c>
      <c r="H2" s="57">
        <f>'[1]Raw FS'!K2</f>
        <v>44621</v>
      </c>
      <c r="I2" s="57">
        <f>'[1]Raw FS'!L2</f>
        <v>44986</v>
      </c>
      <c r="J2" s="57">
        <f>'[1]Raw FS'!M2</f>
        <v>45352</v>
      </c>
      <c r="K2" s="57">
        <f>'[1]Raw FS'!N2</f>
        <v>45717</v>
      </c>
    </row>
    <row r="4" spans="2:11" x14ac:dyDescent="0.25">
      <c r="B4" s="10" t="s">
        <v>184</v>
      </c>
    </row>
    <row r="5" spans="2:11" x14ac:dyDescent="0.25">
      <c r="B5" s="69" t="s">
        <v>178</v>
      </c>
      <c r="C5" s="69"/>
      <c r="D5" s="69"/>
      <c r="E5" s="69"/>
      <c r="F5" s="69"/>
      <c r="G5" s="77">
        <f>'Raw FS'!J35</f>
        <v>3799</v>
      </c>
      <c r="H5" s="77">
        <f>'Raw FS'!K35</f>
        <v>6153</v>
      </c>
      <c r="I5" s="77">
        <f>'Raw FS'!L35</f>
        <v>6211</v>
      </c>
      <c r="J5" s="77">
        <f>'Raw FS'!M35</f>
        <v>5923</v>
      </c>
      <c r="K5" s="77">
        <f>'Raw FS'!N35</f>
        <v>6719</v>
      </c>
    </row>
    <row r="6" spans="2:11" x14ac:dyDescent="0.25">
      <c r="B6" s="69" t="s">
        <v>191</v>
      </c>
      <c r="C6" s="69"/>
      <c r="D6" s="69"/>
      <c r="E6" s="69"/>
      <c r="F6" s="69"/>
      <c r="G6" s="77">
        <f>'Raw FS'!J36</f>
        <v>2602</v>
      </c>
      <c r="H6" s="77">
        <f>'Raw FS'!K36</f>
        <v>3871</v>
      </c>
      <c r="I6" s="77">
        <f>'Raw FS'!L36</f>
        <v>4637</v>
      </c>
      <c r="J6" s="77">
        <f>'Raw FS'!M36</f>
        <v>4889</v>
      </c>
      <c r="K6" s="77">
        <f>'Raw FS'!N36</f>
        <v>4314</v>
      </c>
    </row>
    <row r="7" spans="2:11" x14ac:dyDescent="0.25">
      <c r="B7" s="69" t="s">
        <v>181</v>
      </c>
      <c r="C7" s="69"/>
      <c r="D7" s="69"/>
      <c r="E7" s="69"/>
      <c r="F7" s="69"/>
      <c r="G7" s="77">
        <f>'Raw FS'!J38</f>
        <v>12</v>
      </c>
      <c r="H7" s="77">
        <f>'Raw FS'!K38</f>
        <v>8</v>
      </c>
      <c r="I7" s="77">
        <f>'Raw FS'!L38</f>
        <v>12</v>
      </c>
      <c r="J7" s="77">
        <f>'Raw FS'!M38</f>
        <v>17</v>
      </c>
      <c r="K7" s="77">
        <f>'Raw FS'!N38</f>
        <v>22</v>
      </c>
    </row>
    <row r="8" spans="2:11" x14ac:dyDescent="0.25">
      <c r="B8" s="31" t="s">
        <v>182</v>
      </c>
      <c r="C8" s="31"/>
      <c r="D8" s="31"/>
      <c r="E8" s="31"/>
      <c r="F8" s="31"/>
      <c r="G8" s="77">
        <f>'Raw FS'!J39</f>
        <v>2554</v>
      </c>
      <c r="H8" s="77">
        <f>'Raw FS'!K39</f>
        <v>2869</v>
      </c>
      <c r="I8" s="77">
        <f>'Raw FS'!L39</f>
        <v>3024</v>
      </c>
      <c r="J8" s="77">
        <f>'Raw FS'!M39</f>
        <v>3555</v>
      </c>
      <c r="K8" s="77">
        <f>'Raw FS'!N39</f>
        <v>3319</v>
      </c>
    </row>
    <row r="9" spans="2:11" x14ac:dyDescent="0.25">
      <c r="B9" s="70" t="s">
        <v>81</v>
      </c>
      <c r="C9" s="71"/>
      <c r="D9" s="71"/>
      <c r="E9" s="71"/>
      <c r="F9" s="71"/>
      <c r="G9" s="78">
        <f>SUM(G5:G8)</f>
        <v>8967</v>
      </c>
      <c r="H9" s="78">
        <f t="shared" ref="H9:K9" si="0">SUM(H5:H8)</f>
        <v>12901</v>
      </c>
      <c r="I9" s="78">
        <f t="shared" si="0"/>
        <v>13884</v>
      </c>
      <c r="J9" s="78">
        <f t="shared" si="0"/>
        <v>14384</v>
      </c>
      <c r="K9" s="78">
        <f t="shared" si="0"/>
        <v>14374</v>
      </c>
    </row>
    <row r="10" spans="2:11" x14ac:dyDescent="0.25">
      <c r="G10" s="59"/>
      <c r="H10" s="59"/>
      <c r="I10" s="59"/>
      <c r="J10" s="59"/>
      <c r="K10" s="59"/>
    </row>
    <row r="11" spans="2:11" x14ac:dyDescent="0.25">
      <c r="B11" s="10" t="s">
        <v>192</v>
      </c>
      <c r="G11" s="59"/>
      <c r="H11" s="59"/>
      <c r="I11" s="59"/>
      <c r="J11" s="59"/>
      <c r="K11" s="59"/>
    </row>
    <row r="12" spans="2:11" x14ac:dyDescent="0.25">
      <c r="B12" s="69" t="s">
        <v>162</v>
      </c>
      <c r="C12" s="69"/>
      <c r="D12" s="69"/>
      <c r="E12" s="69"/>
      <c r="F12" s="69"/>
      <c r="G12" s="77">
        <f>'Raw FS'!J13</f>
        <v>3379</v>
      </c>
      <c r="H12" s="77">
        <f>'Raw FS'!K13</f>
        <v>4164</v>
      </c>
      <c r="I12" s="77">
        <f>'Raw FS'!L13</f>
        <v>3635</v>
      </c>
      <c r="J12" s="77">
        <f>'Raw FS'!M13</f>
        <v>3831</v>
      </c>
      <c r="K12" s="77">
        <f>'Raw FS'!N13</f>
        <v>3848</v>
      </c>
    </row>
    <row r="13" spans="2:11" x14ac:dyDescent="0.25">
      <c r="B13" s="72" t="s">
        <v>163</v>
      </c>
      <c r="C13" s="69"/>
      <c r="D13" s="69"/>
      <c r="E13" s="69"/>
      <c r="F13" s="69"/>
      <c r="G13" s="77">
        <f>'Raw FS'!J14</f>
        <v>41</v>
      </c>
      <c r="H13" s="77">
        <f>'Raw FS'!K14</f>
        <v>76</v>
      </c>
      <c r="I13" s="77">
        <f>'Raw FS'!L14</f>
        <v>108</v>
      </c>
      <c r="J13" s="77">
        <f>'Raw FS'!M14</f>
        <v>154</v>
      </c>
      <c r="K13" s="77">
        <f>'Raw FS'!N14</f>
        <v>173</v>
      </c>
    </row>
    <row r="14" spans="2:11" x14ac:dyDescent="0.25">
      <c r="B14" s="73" t="s">
        <v>193</v>
      </c>
      <c r="C14" s="31"/>
      <c r="D14" s="31"/>
      <c r="E14" s="31"/>
      <c r="F14" s="31"/>
      <c r="G14" s="77">
        <f>'Raw FS'!J15</f>
        <v>2613</v>
      </c>
      <c r="H14" s="77">
        <f>'Raw FS'!K15</f>
        <v>2932</v>
      </c>
      <c r="I14" s="77">
        <f>'Raw FS'!L15</f>
        <v>3657</v>
      </c>
      <c r="J14" s="77">
        <f>'Raw FS'!M15</f>
        <v>4017</v>
      </c>
      <c r="K14" s="77">
        <f>'Raw FS'!N15</f>
        <v>3985</v>
      </c>
    </row>
    <row r="15" spans="2:11" x14ac:dyDescent="0.25">
      <c r="B15" s="70" t="s">
        <v>185</v>
      </c>
      <c r="C15" s="71"/>
      <c r="D15" s="71"/>
      <c r="E15" s="71"/>
      <c r="F15" s="71"/>
      <c r="G15" s="78">
        <f>SUM(G12:G14)</f>
        <v>6033</v>
      </c>
      <c r="H15" s="78">
        <f t="shared" ref="H15:K15" si="1">SUM(H12:H14)</f>
        <v>7172</v>
      </c>
      <c r="I15" s="78">
        <f t="shared" si="1"/>
        <v>7400</v>
      </c>
      <c r="J15" s="78">
        <f t="shared" si="1"/>
        <v>8002</v>
      </c>
      <c r="K15" s="78">
        <f t="shared" si="1"/>
        <v>8006</v>
      </c>
    </row>
    <row r="16" spans="2:11" x14ac:dyDescent="0.25">
      <c r="G16" s="59"/>
      <c r="H16" s="59"/>
      <c r="I16" s="59"/>
      <c r="J16" s="59"/>
      <c r="K16" s="59"/>
    </row>
    <row r="17" spans="1:11" ht="15.75" thickBot="1" x14ac:dyDescent="0.3">
      <c r="A17" t="s">
        <v>57</v>
      </c>
      <c r="B17" s="74" t="s">
        <v>186</v>
      </c>
      <c r="C17" s="74"/>
      <c r="D17" s="74"/>
      <c r="E17" s="74"/>
      <c r="F17" s="74"/>
      <c r="G17" s="79">
        <f>G9-G15</f>
        <v>2934</v>
      </c>
      <c r="H17" s="79">
        <f t="shared" ref="H17:K17" si="2">H9-H15</f>
        <v>5729</v>
      </c>
      <c r="I17" s="79">
        <f t="shared" si="2"/>
        <v>6484</v>
      </c>
      <c r="J17" s="79">
        <f t="shared" si="2"/>
        <v>6382</v>
      </c>
      <c r="K17" s="79">
        <f t="shared" si="2"/>
        <v>6368</v>
      </c>
    </row>
    <row r="18" spans="1:11" x14ac:dyDescent="0.25">
      <c r="G18" s="59"/>
      <c r="H18" s="59"/>
      <c r="I18" s="59"/>
      <c r="J18" s="59"/>
      <c r="K18" s="59"/>
    </row>
    <row r="19" spans="1:11" x14ac:dyDescent="0.25">
      <c r="B19" s="75" t="s">
        <v>187</v>
      </c>
      <c r="G19" s="59"/>
      <c r="H19" s="59"/>
      <c r="I19" s="59"/>
      <c r="J19" s="59"/>
      <c r="K19" s="59"/>
    </row>
    <row r="20" spans="1:11" x14ac:dyDescent="0.25">
      <c r="B20" s="69" t="s">
        <v>166</v>
      </c>
      <c r="C20" s="69"/>
      <c r="D20" s="69"/>
      <c r="E20" s="69"/>
      <c r="F20" s="69"/>
      <c r="G20" s="77">
        <f>'Raw FS'!J19</f>
        <v>644</v>
      </c>
      <c r="H20" s="77">
        <f>'Raw FS'!K19</f>
        <v>644</v>
      </c>
      <c r="I20" s="77">
        <f>'Raw FS'!L19</f>
        <v>804</v>
      </c>
      <c r="J20" s="77">
        <f>'Raw FS'!M19</f>
        <v>1126</v>
      </c>
      <c r="K20" s="77">
        <f>'Raw FS'!N19</f>
        <v>1050</v>
      </c>
    </row>
    <row r="21" spans="1:11" x14ac:dyDescent="0.25">
      <c r="B21" s="69" t="s">
        <v>167</v>
      </c>
      <c r="C21" s="69"/>
      <c r="D21" s="69"/>
      <c r="E21" s="69"/>
      <c r="F21" s="69"/>
      <c r="G21" s="77">
        <f>'Raw FS'!J20</f>
        <v>2249</v>
      </c>
      <c r="H21" s="77">
        <f>'Raw FS'!K20</f>
        <v>2325</v>
      </c>
      <c r="I21" s="77">
        <f>'Raw FS'!L20</f>
        <v>2883</v>
      </c>
      <c r="J21" s="77">
        <f>'Raw FS'!M20</f>
        <v>3390</v>
      </c>
      <c r="K21" s="77">
        <f>'Raw FS'!N20</f>
        <v>4136</v>
      </c>
    </row>
    <row r="22" spans="1:11" x14ac:dyDescent="0.25">
      <c r="B22" s="69" t="s">
        <v>168</v>
      </c>
      <c r="C22" s="69"/>
      <c r="D22" s="69"/>
      <c r="E22" s="69"/>
      <c r="F22" s="69"/>
      <c r="G22" s="77">
        <f>'Raw FS'!J21</f>
        <v>4340</v>
      </c>
      <c r="H22" s="77">
        <f>'Raw FS'!K21</f>
        <v>4531</v>
      </c>
      <c r="I22" s="77">
        <f>'Raw FS'!L21</f>
        <v>4825</v>
      </c>
      <c r="J22" s="77">
        <f>'Raw FS'!M21</f>
        <v>5422</v>
      </c>
      <c r="K22" s="77">
        <f>'Raw FS'!N21</f>
        <v>7576</v>
      </c>
    </row>
    <row r="23" spans="1:11" x14ac:dyDescent="0.25">
      <c r="B23" s="69" t="s">
        <v>169</v>
      </c>
      <c r="C23" s="69"/>
      <c r="D23" s="69"/>
      <c r="E23" s="69"/>
      <c r="F23" s="69"/>
      <c r="G23" s="77">
        <f>'Raw FS'!J22</f>
        <v>243</v>
      </c>
      <c r="H23" s="77">
        <f>'Raw FS'!K22</f>
        <v>253</v>
      </c>
      <c r="I23" s="77">
        <f>'Raw FS'!L22</f>
        <v>270</v>
      </c>
      <c r="J23" s="77">
        <f>'Raw FS'!M22</f>
        <v>298</v>
      </c>
      <c r="K23" s="77">
        <f>'Raw FS'!N22</f>
        <v>325</v>
      </c>
    </row>
    <row r="24" spans="1:11" x14ac:dyDescent="0.25">
      <c r="B24" s="69" t="s">
        <v>170</v>
      </c>
      <c r="C24" s="69"/>
      <c r="D24" s="69"/>
      <c r="E24" s="69"/>
      <c r="F24" s="69"/>
      <c r="G24" s="77">
        <f>'Raw FS'!J23</f>
        <v>99</v>
      </c>
      <c r="H24" s="77">
        <f>'Raw FS'!K23</f>
        <v>113</v>
      </c>
      <c r="I24" s="77">
        <f>'Raw FS'!L23</f>
        <v>146</v>
      </c>
      <c r="J24" s="77">
        <f>'Raw FS'!M23</f>
        <v>175</v>
      </c>
      <c r="K24" s="77">
        <f>'Raw FS'!N23</f>
        <v>203</v>
      </c>
    </row>
    <row r="25" spans="1:11" x14ac:dyDescent="0.25">
      <c r="B25" s="69" t="s">
        <v>171</v>
      </c>
      <c r="C25" s="69"/>
      <c r="D25" s="69"/>
      <c r="E25" s="69"/>
      <c r="F25" s="69"/>
      <c r="G25" s="77">
        <f>'Raw FS'!J24</f>
        <v>38</v>
      </c>
      <c r="H25" s="77">
        <f>'Raw FS'!K24</f>
        <v>32</v>
      </c>
      <c r="I25" s="77">
        <f>'Raw FS'!L24</f>
        <v>36</v>
      </c>
      <c r="J25" s="77">
        <f>'Raw FS'!M24</f>
        <v>40</v>
      </c>
      <c r="K25" s="77">
        <f>'Raw FS'!N24</f>
        <v>39</v>
      </c>
    </row>
    <row r="26" spans="1:11" x14ac:dyDescent="0.25">
      <c r="B26" s="69" t="s">
        <v>172</v>
      </c>
      <c r="C26" s="69"/>
      <c r="D26" s="69"/>
      <c r="E26" s="69"/>
      <c r="F26" s="69"/>
      <c r="G26" s="77">
        <f>'Raw FS'!J25</f>
        <v>476</v>
      </c>
      <c r="H26" s="77">
        <f>'Raw FS'!K25</f>
        <v>345</v>
      </c>
      <c r="I26" s="77">
        <f>'Raw FS'!L25</f>
        <v>422</v>
      </c>
      <c r="J26" s="77">
        <f>'Raw FS'!M25</f>
        <v>850</v>
      </c>
      <c r="K26" s="77">
        <f>'Raw FS'!N25</f>
        <v>827</v>
      </c>
    </row>
    <row r="27" spans="1:11" x14ac:dyDescent="0.25">
      <c r="B27" s="31" t="s">
        <v>173</v>
      </c>
      <c r="C27" s="31"/>
      <c r="D27" s="31"/>
      <c r="E27" s="31"/>
      <c r="F27" s="31"/>
      <c r="G27" s="77">
        <f>'Raw FS'!J26</f>
        <v>302</v>
      </c>
      <c r="H27" s="77">
        <f>'Raw FS'!K26</f>
        <v>294</v>
      </c>
      <c r="I27" s="77">
        <f>'Raw FS'!L26</f>
        <v>289</v>
      </c>
      <c r="J27" s="77">
        <f>'Raw FS'!M26</f>
        <v>321</v>
      </c>
      <c r="K27" s="77">
        <f>'Raw FS'!N26</f>
        <v>328</v>
      </c>
    </row>
    <row r="28" spans="1:11" x14ac:dyDescent="0.25">
      <c r="B28" s="70" t="s">
        <v>174</v>
      </c>
      <c r="C28" s="71"/>
      <c r="D28" s="71"/>
      <c r="E28" s="71"/>
      <c r="F28" s="71"/>
      <c r="G28" s="78">
        <f>SUM(G20:G27)</f>
        <v>8391</v>
      </c>
      <c r="H28" s="78">
        <f t="shared" ref="H28:K28" si="3">SUM(H20:H27)</f>
        <v>8537</v>
      </c>
      <c r="I28" s="78">
        <f t="shared" si="3"/>
        <v>9675</v>
      </c>
      <c r="J28" s="78">
        <f t="shared" si="3"/>
        <v>11622</v>
      </c>
      <c r="K28" s="78">
        <f t="shared" si="3"/>
        <v>14484</v>
      </c>
    </row>
    <row r="29" spans="1:11" x14ac:dyDescent="0.25">
      <c r="B29" t="s">
        <v>188</v>
      </c>
      <c r="G29" s="59">
        <f>-'Raw FS'!J28</f>
        <v>-2533</v>
      </c>
      <c r="H29" s="59">
        <f>-'Raw FS'!K28</f>
        <v>-3019</v>
      </c>
      <c r="I29" s="59">
        <f>-'Raw FS'!L28</f>
        <v>-3905</v>
      </c>
      <c r="J29" s="59">
        <f>-'Raw FS'!M28</f>
        <v>-4475</v>
      </c>
      <c r="K29" s="59">
        <f>-'Raw FS'!N28</f>
        <v>-5264</v>
      </c>
    </row>
    <row r="30" spans="1:11" ht="15.75" thickBot="1" x14ac:dyDescent="0.3">
      <c r="A30" t="s">
        <v>57</v>
      </c>
      <c r="B30" s="74" t="s">
        <v>189</v>
      </c>
      <c r="C30" s="74"/>
      <c r="D30" s="74"/>
      <c r="E30" s="74"/>
      <c r="F30" s="74"/>
      <c r="G30" s="79">
        <f>SUM(G28:G29)</f>
        <v>5858</v>
      </c>
      <c r="H30" s="79">
        <f t="shared" ref="H30:K30" si="4">SUM(H28:H29)</f>
        <v>5518</v>
      </c>
      <c r="I30" s="79">
        <f t="shared" si="4"/>
        <v>5770</v>
      </c>
      <c r="J30" s="79">
        <f t="shared" si="4"/>
        <v>7147</v>
      </c>
      <c r="K30" s="79">
        <f t="shared" si="4"/>
        <v>9220</v>
      </c>
    </row>
    <row r="31" spans="1:11" x14ac:dyDescent="0.25">
      <c r="G31" s="59"/>
      <c r="H31" s="59"/>
      <c r="I31" s="59"/>
      <c r="J31" s="59"/>
      <c r="K31" s="59"/>
    </row>
    <row r="32" spans="1:11" x14ac:dyDescent="0.25">
      <c r="A32" t="s">
        <v>57</v>
      </c>
      <c r="B32" s="87" t="s">
        <v>190</v>
      </c>
      <c r="C32" s="69"/>
      <c r="D32" s="69"/>
      <c r="E32" s="69"/>
      <c r="F32" s="69"/>
      <c r="G32" s="88">
        <f>G30+G17</f>
        <v>8792</v>
      </c>
      <c r="H32" s="88">
        <f t="shared" ref="H32:K32" si="5">H30+H17</f>
        <v>11247</v>
      </c>
      <c r="I32" s="88">
        <f t="shared" si="5"/>
        <v>12254</v>
      </c>
      <c r="J32" s="88">
        <f t="shared" si="5"/>
        <v>13529</v>
      </c>
      <c r="K32" s="88">
        <f t="shared" si="5"/>
        <v>15588</v>
      </c>
    </row>
    <row r="33" spans="1:11" x14ac:dyDescent="0.25">
      <c r="B33" s="28" t="s">
        <v>194</v>
      </c>
      <c r="C33" s="28"/>
      <c r="D33" s="28"/>
      <c r="E33" s="28"/>
      <c r="F33" s="28"/>
      <c r="G33" s="88">
        <f>(HistoricalFS!H27+HistoricalFS!H21)</f>
        <v>4064.3300000000031</v>
      </c>
      <c r="H33" s="88">
        <f>(HistoricalFS!I27+HistoricalFS!I21)</f>
        <v>3987.2499999999986</v>
      </c>
      <c r="I33" s="88">
        <f>(HistoricalFS!J27+HistoricalFS!J21)</f>
        <v>5401.8199999999952</v>
      </c>
      <c r="J33" s="88">
        <f>(HistoricalFS!K27+HistoricalFS!K21)</f>
        <v>6731.9800000000014</v>
      </c>
      <c r="K33" s="88">
        <f>(HistoricalFS!L27+HistoricalFS!L21)</f>
        <v>4979.8700000000026</v>
      </c>
    </row>
    <row r="35" spans="1:11" ht="15.75" thickBot="1" x14ac:dyDescent="0.3">
      <c r="A35" t="s">
        <v>57</v>
      </c>
      <c r="B35" s="74" t="s">
        <v>195</v>
      </c>
      <c r="C35" s="74"/>
      <c r="D35" s="74"/>
      <c r="E35" s="74"/>
      <c r="F35" s="74"/>
      <c r="G35" s="76">
        <f>G33/G32</f>
        <v>0.46227593266606043</v>
      </c>
      <c r="H35" s="76">
        <f t="shared" ref="H35:K35" si="6">H33/H32</f>
        <v>0.35451676002489541</v>
      </c>
      <c r="I35" s="76">
        <f t="shared" si="6"/>
        <v>0.44082095642239227</v>
      </c>
      <c r="J35" s="76">
        <f t="shared" si="6"/>
        <v>0.49759627466922918</v>
      </c>
      <c r="K35" s="76">
        <f t="shared" si="6"/>
        <v>0.31946818065178362</v>
      </c>
    </row>
    <row r="37" spans="1:11" x14ac:dyDescent="0.25">
      <c r="A37" t="s">
        <v>57</v>
      </c>
      <c r="B37" s="56" t="s">
        <v>206</v>
      </c>
      <c r="C37" s="56"/>
      <c r="D37" s="56"/>
      <c r="E37" s="56"/>
      <c r="F37" s="56"/>
      <c r="G37" s="57">
        <f>G2</f>
        <v>44256</v>
      </c>
      <c r="H37" s="57">
        <f t="shared" ref="H37:K37" si="7">H2</f>
        <v>44621</v>
      </c>
      <c r="I37" s="57">
        <f t="shared" si="7"/>
        <v>44986</v>
      </c>
      <c r="J37" s="57">
        <f t="shared" si="7"/>
        <v>45352</v>
      </c>
      <c r="K37" s="57">
        <f t="shared" si="7"/>
        <v>45717</v>
      </c>
    </row>
    <row r="39" spans="1:11" x14ac:dyDescent="0.25">
      <c r="B39" s="69" t="s">
        <v>196</v>
      </c>
      <c r="C39" s="69"/>
      <c r="D39" s="69"/>
      <c r="E39" s="69"/>
      <c r="F39" s="69"/>
      <c r="G39" s="77">
        <f>-SUM('Raw FS'!J53:J54)</f>
        <v>261</v>
      </c>
      <c r="H39" s="77">
        <f>-SUM('Raw FS'!K53:K54)</f>
        <v>511</v>
      </c>
      <c r="I39" s="77">
        <f>-SUM('Raw FS'!L53:L54)</f>
        <v>1420</v>
      </c>
      <c r="J39" s="77">
        <f>-SUM('Raw FS'!M53:M54)</f>
        <v>2491</v>
      </c>
      <c r="K39" s="77">
        <f>-SUM('Raw FS'!N53:N54)</f>
        <v>1820</v>
      </c>
    </row>
    <row r="40" spans="1:11" x14ac:dyDescent="0.25">
      <c r="B40" s="69" t="s">
        <v>199</v>
      </c>
      <c r="C40" s="69"/>
      <c r="D40" s="69"/>
      <c r="E40" s="69"/>
      <c r="F40" s="69"/>
      <c r="G40" s="77"/>
      <c r="H40" s="77">
        <f>H17-G17</f>
        <v>2795</v>
      </c>
      <c r="I40" s="77">
        <f t="shared" ref="I40:K40" si="8">I17-H17</f>
        <v>755</v>
      </c>
      <c r="J40" s="77">
        <f t="shared" si="8"/>
        <v>-102</v>
      </c>
      <c r="K40" s="77">
        <f t="shared" si="8"/>
        <v>-14</v>
      </c>
    </row>
    <row r="41" spans="1:11" x14ac:dyDescent="0.25">
      <c r="B41" s="69"/>
      <c r="C41" s="69"/>
      <c r="D41" s="69"/>
      <c r="E41" s="69"/>
      <c r="F41" s="69"/>
      <c r="G41" s="77"/>
      <c r="H41" s="77"/>
      <c r="I41" s="77"/>
      <c r="J41" s="77"/>
      <c r="K41" s="77"/>
    </row>
    <row r="42" spans="1:11" x14ac:dyDescent="0.25">
      <c r="B42" s="69" t="s">
        <v>194</v>
      </c>
      <c r="C42" s="69"/>
      <c r="D42" s="69"/>
      <c r="E42" s="69"/>
      <c r="F42" s="69"/>
      <c r="G42" s="77">
        <f>G33</f>
        <v>4064.3300000000031</v>
      </c>
      <c r="H42" s="77">
        <f t="shared" ref="H42:K42" si="9">H33</f>
        <v>3987.2499999999986</v>
      </c>
      <c r="I42" s="77">
        <f t="shared" si="9"/>
        <v>5401.8199999999952</v>
      </c>
      <c r="J42" s="77">
        <f t="shared" si="9"/>
        <v>6731.9800000000014</v>
      </c>
      <c r="K42" s="77">
        <f t="shared" si="9"/>
        <v>4979.8700000000026</v>
      </c>
    </row>
    <row r="43" spans="1:11" x14ac:dyDescent="0.25">
      <c r="B43" s="69" t="s">
        <v>200</v>
      </c>
      <c r="C43" s="69"/>
      <c r="D43" s="69"/>
      <c r="E43" s="69"/>
      <c r="F43" s="69"/>
      <c r="G43" s="80">
        <v>0.25</v>
      </c>
      <c r="H43" s="80">
        <v>0.25</v>
      </c>
      <c r="I43" s="80">
        <v>0.25</v>
      </c>
      <c r="J43" s="80">
        <v>0.25</v>
      </c>
      <c r="K43" s="80">
        <v>0.25</v>
      </c>
    </row>
    <row r="44" spans="1:11" x14ac:dyDescent="0.25">
      <c r="B44" s="69" t="s">
        <v>202</v>
      </c>
      <c r="C44" s="69"/>
      <c r="D44" s="69"/>
      <c r="E44" s="69"/>
      <c r="F44" s="69"/>
      <c r="G44" s="81">
        <f>G42*(1-G43)</f>
        <v>3048.2475000000022</v>
      </c>
      <c r="H44" s="81">
        <f t="shared" ref="H44:K44" si="10">H42*(1-H43)</f>
        <v>2990.4374999999991</v>
      </c>
      <c r="I44" s="81">
        <f t="shared" si="10"/>
        <v>4051.3649999999961</v>
      </c>
      <c r="J44" s="81">
        <f t="shared" si="10"/>
        <v>5048.9850000000006</v>
      </c>
      <c r="K44" s="81">
        <f t="shared" si="10"/>
        <v>3734.902500000002</v>
      </c>
    </row>
    <row r="45" spans="1:11" x14ac:dyDescent="0.25">
      <c r="B45" s="69"/>
      <c r="C45" s="69"/>
      <c r="D45" s="69"/>
      <c r="E45" s="69"/>
      <c r="F45" s="69"/>
      <c r="G45" s="69"/>
      <c r="H45" s="69"/>
      <c r="I45" s="69"/>
      <c r="J45" s="69"/>
      <c r="K45" s="69"/>
    </row>
    <row r="46" spans="1:11" x14ac:dyDescent="0.25">
      <c r="B46" s="69" t="s">
        <v>201</v>
      </c>
      <c r="C46" s="69"/>
      <c r="D46" s="69"/>
      <c r="E46" s="69"/>
      <c r="F46" s="69"/>
      <c r="G46" s="69"/>
      <c r="H46" s="77">
        <f>SUM(H39:H40)</f>
        <v>3306</v>
      </c>
      <c r="I46" s="77">
        <f t="shared" ref="I46:K46" si="11">SUM(I39:I40)</f>
        <v>2175</v>
      </c>
      <c r="J46" s="77">
        <f t="shared" si="11"/>
        <v>2389</v>
      </c>
      <c r="K46" s="77">
        <f t="shared" si="11"/>
        <v>1806</v>
      </c>
    </row>
    <row r="47" spans="1:11" ht="3.75" customHeight="1" x14ac:dyDescent="0.25"/>
    <row r="48" spans="1:11" ht="15.75" thickBot="1" x14ac:dyDescent="0.3">
      <c r="B48" s="74" t="s">
        <v>203</v>
      </c>
      <c r="C48" s="74"/>
      <c r="D48" s="74"/>
      <c r="E48" s="74"/>
      <c r="F48" s="74"/>
      <c r="G48" s="74"/>
      <c r="H48" s="76">
        <f>H46/H44</f>
        <v>1.1055238572951285</v>
      </c>
      <c r="I48" s="76">
        <f t="shared" ref="I48:K48" si="12">I46/I44</f>
        <v>0.53685609664890777</v>
      </c>
      <c r="J48" s="76">
        <f t="shared" si="12"/>
        <v>0.4731644082919636</v>
      </c>
      <c r="K48" s="76">
        <f t="shared" si="12"/>
        <v>0.48354675925275131</v>
      </c>
    </row>
    <row r="50" spans="1:11" x14ac:dyDescent="0.25">
      <c r="J50" s="83" t="s">
        <v>204</v>
      </c>
      <c r="K50" s="84">
        <f>AVERAGE(H48:K48)</f>
        <v>0.64977278037218777</v>
      </c>
    </row>
    <row r="51" spans="1:11" x14ac:dyDescent="0.25">
      <c r="J51" s="83" t="s">
        <v>205</v>
      </c>
      <c r="K51" s="84">
        <f>MEDIAN(H48:K48)</f>
        <v>0.51020142795082957</v>
      </c>
    </row>
    <row r="53" spans="1:11" x14ac:dyDescent="0.25">
      <c r="A53" t="s">
        <v>57</v>
      </c>
      <c r="B53" s="56" t="s">
        <v>207</v>
      </c>
      <c r="C53" s="56"/>
      <c r="D53" s="56"/>
      <c r="E53" s="56"/>
      <c r="F53" s="56"/>
      <c r="G53" s="57">
        <f>G37</f>
        <v>44256</v>
      </c>
      <c r="H53" s="57">
        <f t="shared" ref="H53:K53" si="13">H37</f>
        <v>44621</v>
      </c>
      <c r="I53" s="57">
        <f t="shared" si="13"/>
        <v>44986</v>
      </c>
      <c r="J53" s="57">
        <f t="shared" si="13"/>
        <v>45352</v>
      </c>
      <c r="K53" s="57">
        <f t="shared" si="13"/>
        <v>45717</v>
      </c>
    </row>
    <row r="54" spans="1:11" x14ac:dyDescent="0.25">
      <c r="G54" s="82"/>
    </row>
    <row r="55" spans="1:11" x14ac:dyDescent="0.25">
      <c r="B55" s="69" t="s">
        <v>203</v>
      </c>
      <c r="C55" s="69"/>
      <c r="D55" s="69"/>
      <c r="E55" s="69"/>
      <c r="F55" s="69"/>
      <c r="G55" s="69"/>
      <c r="H55" s="85">
        <f>H48</f>
        <v>1.1055238572951285</v>
      </c>
      <c r="I55" s="85">
        <f t="shared" ref="I55:K55" si="14">I48</f>
        <v>0.53685609664890777</v>
      </c>
      <c r="J55" s="85">
        <f t="shared" si="14"/>
        <v>0.4731644082919636</v>
      </c>
      <c r="K55" s="85">
        <f t="shared" si="14"/>
        <v>0.48354675925275131</v>
      </c>
    </row>
    <row r="56" spans="1:11" x14ac:dyDescent="0.25">
      <c r="B56" s="69" t="s">
        <v>195</v>
      </c>
      <c r="C56" s="69"/>
      <c r="D56" s="69"/>
      <c r="E56" s="69"/>
      <c r="F56" s="69"/>
      <c r="G56" s="69"/>
      <c r="H56" s="85">
        <f>H35</f>
        <v>0.35451676002489541</v>
      </c>
      <c r="I56" s="85">
        <f t="shared" ref="I56:K56" si="15">I35</f>
        <v>0.44082095642239227</v>
      </c>
      <c r="J56" s="85">
        <f t="shared" si="15"/>
        <v>0.49759627466922918</v>
      </c>
      <c r="K56" s="85">
        <f t="shared" si="15"/>
        <v>0.31946818065178362</v>
      </c>
    </row>
    <row r="57" spans="1:11" ht="6" customHeight="1" x14ac:dyDescent="0.25"/>
    <row r="58" spans="1:11" ht="15.75" thickBot="1" x14ac:dyDescent="0.3">
      <c r="B58" s="74" t="s">
        <v>208</v>
      </c>
      <c r="C58" s="74"/>
      <c r="D58" s="74"/>
      <c r="E58" s="74"/>
      <c r="F58" s="74"/>
      <c r="G58" s="74"/>
      <c r="H58" s="86">
        <f>H55*H56</f>
        <v>0.39192673601849376</v>
      </c>
      <c r="I58" s="86">
        <f t="shared" ref="I58:K58" si="16">I55*I56</f>
        <v>0.23665741798596379</v>
      </c>
      <c r="J58" s="86">
        <f t="shared" si="16"/>
        <v>0.23544484687215123</v>
      </c>
      <c r="K58" s="86">
        <f t="shared" si="16"/>
        <v>0.15447780343854248</v>
      </c>
    </row>
  </sheetData>
  <pageMargins left="0.7" right="0.7" top="0.75" bottom="0.75" header="0.3" footer="0.3"/>
  <pageSetup orientation="portrait" r:id="rId1"/>
  <ignoredErrors>
    <ignoredError sqref="G39 J39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71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N7" sqref="N7:N8"/>
    </sheetView>
  </sheetViews>
  <sheetFormatPr defaultRowHeight="15" x14ac:dyDescent="0.25"/>
  <cols>
    <col min="1" max="1" width="1.85546875" customWidth="1"/>
    <col min="2" max="2" width="28" bestFit="1" customWidth="1"/>
  </cols>
  <sheetData>
    <row r="2" spans="2:14" x14ac:dyDescent="0.25">
      <c r="B2" s="56" t="s">
        <v>153</v>
      </c>
      <c r="C2" s="57">
        <v>41699</v>
      </c>
      <c r="D2" s="57">
        <v>42064</v>
      </c>
      <c r="E2" s="57">
        <v>42430</v>
      </c>
      <c r="F2" s="57">
        <v>42795</v>
      </c>
      <c r="G2" s="57">
        <v>43160</v>
      </c>
      <c r="H2" s="57">
        <v>43525</v>
      </c>
      <c r="I2" s="57">
        <v>43891</v>
      </c>
      <c r="J2" s="57">
        <v>44256</v>
      </c>
      <c r="K2" s="57">
        <v>44621</v>
      </c>
      <c r="L2" s="57">
        <v>44986</v>
      </c>
      <c r="M2" s="57">
        <v>45352</v>
      </c>
      <c r="N2" s="57">
        <v>45717</v>
      </c>
    </row>
    <row r="4" spans="2:14" x14ac:dyDescent="0.25">
      <c r="B4" s="10" t="s">
        <v>154</v>
      </c>
      <c r="C4" s="58">
        <v>96</v>
      </c>
      <c r="D4" s="58">
        <v>96</v>
      </c>
      <c r="E4" s="58">
        <v>96</v>
      </c>
      <c r="F4" s="58">
        <v>96</v>
      </c>
      <c r="G4" s="58">
        <v>96</v>
      </c>
      <c r="H4" s="58">
        <v>96</v>
      </c>
      <c r="I4" s="58">
        <v>96</v>
      </c>
      <c r="J4" s="58">
        <v>96</v>
      </c>
      <c r="K4" s="58">
        <v>96</v>
      </c>
      <c r="L4" s="58">
        <v>96</v>
      </c>
      <c r="M4" s="58">
        <v>96</v>
      </c>
      <c r="N4" s="58">
        <v>96</v>
      </c>
    </row>
    <row r="5" spans="2:14" x14ac:dyDescent="0.25">
      <c r="B5" s="10" t="s">
        <v>11</v>
      </c>
      <c r="C5" s="58">
        <v>3943</v>
      </c>
      <c r="D5" s="58">
        <v>4646</v>
      </c>
      <c r="E5" s="58">
        <v>6429</v>
      </c>
      <c r="F5" s="58">
        <v>7508</v>
      </c>
      <c r="G5" s="58">
        <v>8314</v>
      </c>
      <c r="H5" s="58">
        <v>9375</v>
      </c>
      <c r="I5" s="58">
        <v>10034</v>
      </c>
      <c r="J5" s="58">
        <v>12710</v>
      </c>
      <c r="K5" s="58">
        <v>13716</v>
      </c>
      <c r="L5" s="58">
        <v>15896</v>
      </c>
      <c r="M5" s="58">
        <v>18632</v>
      </c>
      <c r="N5" s="58">
        <v>19304</v>
      </c>
    </row>
    <row r="6" spans="2:14" x14ac:dyDescent="0.25">
      <c r="B6" s="10" t="s">
        <v>155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</row>
    <row r="7" spans="2:14" x14ac:dyDescent="0.25">
      <c r="B7" t="s">
        <v>156</v>
      </c>
      <c r="C7" s="58">
        <v>41</v>
      </c>
      <c r="D7" s="58">
        <v>78</v>
      </c>
      <c r="E7" s="58">
        <v>73</v>
      </c>
      <c r="F7" s="58">
        <v>41</v>
      </c>
      <c r="G7" s="58">
        <v>28</v>
      </c>
      <c r="H7" s="58">
        <v>19</v>
      </c>
      <c r="I7" s="58">
        <v>19</v>
      </c>
      <c r="J7" s="58">
        <v>15</v>
      </c>
      <c r="K7" s="58">
        <v>45</v>
      </c>
      <c r="L7" s="58">
        <v>76</v>
      </c>
      <c r="M7" s="58">
        <v>54</v>
      </c>
      <c r="N7" s="58">
        <v>260</v>
      </c>
    </row>
    <row r="8" spans="2:14" x14ac:dyDescent="0.25">
      <c r="B8" t="s">
        <v>157</v>
      </c>
      <c r="C8" s="58">
        <v>199</v>
      </c>
      <c r="D8" s="58">
        <v>332</v>
      </c>
      <c r="E8" s="58">
        <v>231</v>
      </c>
      <c r="F8" s="58">
        <v>504</v>
      </c>
      <c r="G8" s="58">
        <v>492</v>
      </c>
      <c r="H8" s="58">
        <v>597</v>
      </c>
      <c r="I8" s="58">
        <v>321</v>
      </c>
      <c r="J8" s="58">
        <v>326</v>
      </c>
      <c r="K8" s="58">
        <v>731</v>
      </c>
      <c r="L8" s="58">
        <v>896</v>
      </c>
      <c r="M8" s="58">
        <v>1053</v>
      </c>
      <c r="N8" s="58">
        <v>604</v>
      </c>
    </row>
    <row r="9" spans="2:14" x14ac:dyDescent="0.25">
      <c r="B9" t="s">
        <v>158</v>
      </c>
      <c r="C9" s="58">
        <v>0</v>
      </c>
      <c r="D9" s="58">
        <v>0</v>
      </c>
      <c r="E9" s="58">
        <v>0</v>
      </c>
      <c r="F9" s="58">
        <v>0</v>
      </c>
      <c r="G9" s="58">
        <v>0</v>
      </c>
      <c r="H9" s="58">
        <v>693</v>
      </c>
      <c r="I9" s="58">
        <v>764</v>
      </c>
      <c r="J9" s="58">
        <v>745</v>
      </c>
      <c r="K9" s="58">
        <v>811</v>
      </c>
      <c r="L9" s="58">
        <v>960</v>
      </c>
      <c r="M9" s="58">
        <v>1367</v>
      </c>
      <c r="N9" s="58">
        <v>1427</v>
      </c>
    </row>
    <row r="10" spans="2:14" x14ac:dyDescent="0.25">
      <c r="B10" t="s">
        <v>159</v>
      </c>
      <c r="C10" s="58">
        <v>9</v>
      </c>
      <c r="D10" s="58">
        <v>8</v>
      </c>
      <c r="E10" s="58">
        <v>20</v>
      </c>
      <c r="F10" s="58">
        <v>15</v>
      </c>
      <c r="G10" s="58">
        <v>13</v>
      </c>
      <c r="H10" s="58">
        <v>11</v>
      </c>
      <c r="I10" s="58">
        <v>15</v>
      </c>
      <c r="J10" s="58">
        <v>8</v>
      </c>
      <c r="K10" s="58">
        <v>0</v>
      </c>
      <c r="L10" s="58">
        <v>0</v>
      </c>
      <c r="M10" s="58">
        <v>0</v>
      </c>
      <c r="N10" s="58">
        <v>0</v>
      </c>
    </row>
    <row r="11" spans="2:14" x14ac:dyDescent="0.25">
      <c r="B11" s="10" t="s">
        <v>160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</row>
    <row r="12" spans="2:14" x14ac:dyDescent="0.25">
      <c r="B12" t="s">
        <v>161</v>
      </c>
      <c r="C12" s="58">
        <v>246</v>
      </c>
      <c r="D12" s="58">
        <v>264</v>
      </c>
      <c r="E12" s="58">
        <v>384</v>
      </c>
      <c r="F12" s="58">
        <v>375</v>
      </c>
      <c r="G12" s="58">
        <v>328</v>
      </c>
      <c r="H12" s="58">
        <v>361</v>
      </c>
      <c r="I12" s="58">
        <v>404</v>
      </c>
      <c r="J12" s="58">
        <v>423</v>
      </c>
      <c r="K12" s="58">
        <v>388</v>
      </c>
      <c r="L12" s="58">
        <v>454</v>
      </c>
      <c r="M12" s="58">
        <v>695</v>
      </c>
      <c r="N12" s="58">
        <v>659</v>
      </c>
    </row>
    <row r="13" spans="2:14" x14ac:dyDescent="0.25">
      <c r="B13" t="s">
        <v>162</v>
      </c>
      <c r="C13" s="58">
        <v>1746</v>
      </c>
      <c r="D13" s="58">
        <v>1549</v>
      </c>
      <c r="E13" s="58">
        <v>1565</v>
      </c>
      <c r="F13" s="58">
        <v>1923</v>
      </c>
      <c r="G13" s="58">
        <v>2160</v>
      </c>
      <c r="H13" s="58">
        <v>2394</v>
      </c>
      <c r="I13" s="58">
        <v>2137</v>
      </c>
      <c r="J13" s="58">
        <v>3379</v>
      </c>
      <c r="K13" s="58">
        <v>4164</v>
      </c>
      <c r="L13" s="58">
        <v>3635</v>
      </c>
      <c r="M13" s="58">
        <v>3831</v>
      </c>
      <c r="N13" s="58">
        <v>3848</v>
      </c>
    </row>
    <row r="14" spans="2:14" x14ac:dyDescent="0.25">
      <c r="B14" t="s">
        <v>163</v>
      </c>
      <c r="C14" s="58">
        <v>0</v>
      </c>
      <c r="D14" s="58">
        <v>5</v>
      </c>
      <c r="E14" s="58">
        <v>12</v>
      </c>
      <c r="F14" s="58">
        <v>17</v>
      </c>
      <c r="G14" s="58">
        <v>16</v>
      </c>
      <c r="H14" s="58">
        <v>13</v>
      </c>
      <c r="I14" s="58">
        <v>29</v>
      </c>
      <c r="J14" s="58">
        <v>41</v>
      </c>
      <c r="K14" s="58">
        <v>76</v>
      </c>
      <c r="L14" s="58">
        <v>108</v>
      </c>
      <c r="M14" s="58">
        <v>154</v>
      </c>
      <c r="N14" s="58">
        <v>173</v>
      </c>
    </row>
    <row r="15" spans="2:14" x14ac:dyDescent="0.25">
      <c r="B15" t="s">
        <v>164</v>
      </c>
      <c r="C15" s="59">
        <v>1795</v>
      </c>
      <c r="D15" s="59">
        <v>1937</v>
      </c>
      <c r="E15" s="59">
        <v>1750</v>
      </c>
      <c r="F15" s="59">
        <v>1925</v>
      </c>
      <c r="G15" s="59">
        <v>2316</v>
      </c>
      <c r="H15" s="59">
        <v>2690</v>
      </c>
      <c r="I15" s="59">
        <v>2320</v>
      </c>
      <c r="J15" s="59">
        <v>2613</v>
      </c>
      <c r="K15" s="59">
        <v>2932</v>
      </c>
      <c r="L15" s="59">
        <v>3657</v>
      </c>
      <c r="M15" s="59">
        <v>4017</v>
      </c>
      <c r="N15" s="59">
        <v>3985</v>
      </c>
    </row>
    <row r="16" spans="2:14" x14ac:dyDescent="0.25">
      <c r="B16" s="60" t="s">
        <v>54</v>
      </c>
      <c r="C16" s="61">
        <v>8075</v>
      </c>
      <c r="D16" s="61">
        <v>8914</v>
      </c>
      <c r="E16" s="61">
        <v>10559</v>
      </c>
      <c r="F16" s="61">
        <v>12405</v>
      </c>
      <c r="G16" s="61">
        <v>13763</v>
      </c>
      <c r="H16" s="61">
        <v>16249</v>
      </c>
      <c r="I16" s="61">
        <v>16138</v>
      </c>
      <c r="J16" s="61">
        <v>20355</v>
      </c>
      <c r="K16" s="61">
        <v>22958</v>
      </c>
      <c r="L16" s="61">
        <v>25779</v>
      </c>
      <c r="M16" s="61">
        <v>29901</v>
      </c>
      <c r="N16" s="61">
        <v>30355</v>
      </c>
    </row>
    <row r="17" spans="2:14" x14ac:dyDescent="0.25"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</row>
    <row r="18" spans="2:14" x14ac:dyDescent="0.25">
      <c r="B18" s="10" t="s">
        <v>165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</row>
    <row r="19" spans="2:14" x14ac:dyDescent="0.25">
      <c r="B19" t="s">
        <v>166</v>
      </c>
      <c r="C19" s="58">
        <v>247</v>
      </c>
      <c r="D19" s="58">
        <v>251</v>
      </c>
      <c r="E19" s="58">
        <v>429</v>
      </c>
      <c r="F19" s="58">
        <v>408</v>
      </c>
      <c r="G19" s="58">
        <v>586</v>
      </c>
      <c r="H19" s="58">
        <v>605</v>
      </c>
      <c r="I19" s="58">
        <v>640</v>
      </c>
      <c r="J19" s="58">
        <v>644</v>
      </c>
      <c r="K19" s="58">
        <v>644</v>
      </c>
      <c r="L19" s="58">
        <v>804</v>
      </c>
      <c r="M19" s="58">
        <v>1126</v>
      </c>
      <c r="N19" s="58">
        <v>1050</v>
      </c>
    </row>
    <row r="20" spans="2:14" x14ac:dyDescent="0.25">
      <c r="B20" t="s">
        <v>167</v>
      </c>
      <c r="C20" s="58">
        <v>931</v>
      </c>
      <c r="D20" s="58">
        <v>962</v>
      </c>
      <c r="E20" s="58">
        <v>923</v>
      </c>
      <c r="F20" s="58">
        <v>931</v>
      </c>
      <c r="G20" s="58">
        <v>957</v>
      </c>
      <c r="H20" s="58">
        <v>2402</v>
      </c>
      <c r="I20" s="58">
        <v>2257</v>
      </c>
      <c r="J20" s="58">
        <v>2249</v>
      </c>
      <c r="K20" s="58">
        <v>2325</v>
      </c>
      <c r="L20" s="58">
        <v>2883</v>
      </c>
      <c r="M20" s="58">
        <v>3390</v>
      </c>
      <c r="N20" s="58">
        <v>4136</v>
      </c>
    </row>
    <row r="21" spans="2:14" x14ac:dyDescent="0.25">
      <c r="B21" t="s">
        <v>168</v>
      </c>
      <c r="C21" s="58">
        <v>2054</v>
      </c>
      <c r="D21" s="58">
        <v>2132</v>
      </c>
      <c r="E21" s="58">
        <v>1793</v>
      </c>
      <c r="F21" s="58">
        <v>1980</v>
      </c>
      <c r="G21" s="58">
        <v>2157</v>
      </c>
      <c r="H21" s="58">
        <v>4006</v>
      </c>
      <c r="I21" s="58">
        <v>4208</v>
      </c>
      <c r="J21" s="58">
        <v>4340</v>
      </c>
      <c r="K21" s="58">
        <v>4531</v>
      </c>
      <c r="L21" s="58">
        <v>4825</v>
      </c>
      <c r="M21" s="58">
        <v>5422</v>
      </c>
      <c r="N21" s="58">
        <v>7576</v>
      </c>
    </row>
    <row r="22" spans="2:14" x14ac:dyDescent="0.25">
      <c r="B22" t="s">
        <v>169</v>
      </c>
      <c r="C22" s="58">
        <v>155</v>
      </c>
      <c r="D22" s="58">
        <v>171</v>
      </c>
      <c r="E22" s="58">
        <v>97</v>
      </c>
      <c r="F22" s="58">
        <v>119</v>
      </c>
      <c r="G22" s="58">
        <v>200</v>
      </c>
      <c r="H22" s="58">
        <v>221</v>
      </c>
      <c r="I22" s="58">
        <v>241</v>
      </c>
      <c r="J22" s="58">
        <v>243</v>
      </c>
      <c r="K22" s="58">
        <v>253</v>
      </c>
      <c r="L22" s="58">
        <v>270</v>
      </c>
      <c r="M22" s="58">
        <v>298</v>
      </c>
      <c r="N22" s="58">
        <v>325</v>
      </c>
    </row>
    <row r="23" spans="2:14" x14ac:dyDescent="0.25">
      <c r="B23" t="s">
        <v>170</v>
      </c>
      <c r="C23" s="58">
        <v>71</v>
      </c>
      <c r="D23" s="58">
        <v>83</v>
      </c>
      <c r="E23" s="58">
        <v>49</v>
      </c>
      <c r="F23" s="58">
        <v>59</v>
      </c>
      <c r="G23" s="58">
        <v>72</v>
      </c>
      <c r="H23" s="58">
        <v>88</v>
      </c>
      <c r="I23" s="58">
        <v>94</v>
      </c>
      <c r="J23" s="58">
        <v>99</v>
      </c>
      <c r="K23" s="58">
        <v>113</v>
      </c>
      <c r="L23" s="58">
        <v>146</v>
      </c>
      <c r="M23" s="58">
        <v>175</v>
      </c>
      <c r="N23" s="58">
        <v>203</v>
      </c>
    </row>
    <row r="24" spans="2:14" x14ac:dyDescent="0.25">
      <c r="B24" t="s">
        <v>171</v>
      </c>
      <c r="C24" s="58">
        <v>14</v>
      </c>
      <c r="D24" s="58">
        <v>18</v>
      </c>
      <c r="E24" s="58">
        <v>11</v>
      </c>
      <c r="F24" s="58">
        <v>14</v>
      </c>
      <c r="G24" s="58">
        <v>27</v>
      </c>
      <c r="H24" s="58">
        <v>47</v>
      </c>
      <c r="I24" s="58">
        <v>43</v>
      </c>
      <c r="J24" s="58">
        <v>38</v>
      </c>
      <c r="K24" s="58">
        <v>32</v>
      </c>
      <c r="L24" s="58">
        <v>36</v>
      </c>
      <c r="M24" s="58">
        <v>40</v>
      </c>
      <c r="N24" s="58">
        <v>39</v>
      </c>
    </row>
    <row r="25" spans="2:14" x14ac:dyDescent="0.25">
      <c r="B25" t="s">
        <v>172</v>
      </c>
      <c r="C25" s="58">
        <v>203</v>
      </c>
      <c r="D25" s="58">
        <v>351</v>
      </c>
      <c r="E25" s="58">
        <v>339</v>
      </c>
      <c r="F25" s="58">
        <v>276</v>
      </c>
      <c r="G25" s="58">
        <v>468</v>
      </c>
      <c r="H25" s="58">
        <v>512</v>
      </c>
      <c r="I25" s="58">
        <v>505</v>
      </c>
      <c r="J25" s="58">
        <v>476</v>
      </c>
      <c r="K25" s="58">
        <v>345</v>
      </c>
      <c r="L25" s="58">
        <v>422</v>
      </c>
      <c r="M25" s="58">
        <v>850</v>
      </c>
      <c r="N25" s="58">
        <v>827</v>
      </c>
    </row>
    <row r="26" spans="2:14" x14ac:dyDescent="0.25">
      <c r="B26" t="s">
        <v>173</v>
      </c>
      <c r="C26" s="58">
        <v>128</v>
      </c>
      <c r="D26" s="58">
        <v>145</v>
      </c>
      <c r="E26" s="58">
        <v>103</v>
      </c>
      <c r="F26" s="58">
        <v>128</v>
      </c>
      <c r="G26" s="58">
        <v>238</v>
      </c>
      <c r="H26" s="58">
        <v>261</v>
      </c>
      <c r="I26" s="58">
        <v>293</v>
      </c>
      <c r="J26" s="58">
        <v>302</v>
      </c>
      <c r="K26" s="58">
        <v>294</v>
      </c>
      <c r="L26" s="58">
        <v>289</v>
      </c>
      <c r="M26" s="58">
        <v>321</v>
      </c>
      <c r="N26" s="58">
        <v>328</v>
      </c>
    </row>
    <row r="27" spans="2:14" x14ac:dyDescent="0.25">
      <c r="B27" s="10" t="s">
        <v>174</v>
      </c>
      <c r="C27" s="62">
        <v>3804</v>
      </c>
      <c r="D27" s="62">
        <v>4112</v>
      </c>
      <c r="E27" s="62">
        <v>3744</v>
      </c>
      <c r="F27" s="62">
        <v>3914</v>
      </c>
      <c r="G27" s="62">
        <v>4705</v>
      </c>
      <c r="H27" s="62">
        <v>8141</v>
      </c>
      <c r="I27" s="62">
        <v>8282</v>
      </c>
      <c r="J27" s="62">
        <v>8392</v>
      </c>
      <c r="K27" s="62">
        <v>8538</v>
      </c>
      <c r="L27" s="62">
        <v>9676</v>
      </c>
      <c r="M27" s="62">
        <v>11622</v>
      </c>
      <c r="N27" s="62">
        <v>14484</v>
      </c>
    </row>
    <row r="28" spans="2:14" x14ac:dyDescent="0.25">
      <c r="B28" s="10" t="s">
        <v>175</v>
      </c>
      <c r="C28" s="59">
        <v>1242</v>
      </c>
      <c r="D28" s="59">
        <v>1452</v>
      </c>
      <c r="E28" s="59">
        <v>327</v>
      </c>
      <c r="F28" s="59">
        <v>610</v>
      </c>
      <c r="G28" s="59">
        <v>973</v>
      </c>
      <c r="H28" s="59">
        <v>1644</v>
      </c>
      <c r="I28" s="59">
        <v>2010</v>
      </c>
      <c r="J28" s="59">
        <v>2533</v>
      </c>
      <c r="K28" s="59">
        <v>3019</v>
      </c>
      <c r="L28" s="59">
        <v>3905</v>
      </c>
      <c r="M28" s="59">
        <v>4475</v>
      </c>
      <c r="N28" s="59">
        <v>5264</v>
      </c>
    </row>
    <row r="29" spans="2:14" x14ac:dyDescent="0.25">
      <c r="B29" s="63" t="s">
        <v>13</v>
      </c>
      <c r="C29" s="64">
        <f>C27-C28</f>
        <v>2562</v>
      </c>
      <c r="D29" s="64">
        <f t="shared" ref="D29:N29" si="0">D27-D28</f>
        <v>2660</v>
      </c>
      <c r="E29" s="64">
        <f t="shared" si="0"/>
        <v>3417</v>
      </c>
      <c r="F29" s="64">
        <f t="shared" si="0"/>
        <v>3304</v>
      </c>
      <c r="G29" s="64">
        <f t="shared" si="0"/>
        <v>3732</v>
      </c>
      <c r="H29" s="64">
        <f t="shared" si="0"/>
        <v>6497</v>
      </c>
      <c r="I29" s="64">
        <f t="shared" si="0"/>
        <v>6272</v>
      </c>
      <c r="J29" s="64">
        <f t="shared" si="0"/>
        <v>5859</v>
      </c>
      <c r="K29" s="64">
        <f t="shared" si="0"/>
        <v>5519</v>
      </c>
      <c r="L29" s="64">
        <f t="shared" si="0"/>
        <v>5771</v>
      </c>
      <c r="M29" s="64">
        <f t="shared" si="0"/>
        <v>7147</v>
      </c>
      <c r="N29" s="64">
        <f t="shared" si="0"/>
        <v>9220</v>
      </c>
    </row>
    <row r="30" spans="2:14" x14ac:dyDescent="0.25">
      <c r="B30" s="65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</row>
    <row r="31" spans="2:14" x14ac:dyDescent="0.25">
      <c r="B31" s="10" t="s">
        <v>176</v>
      </c>
      <c r="C31" s="58">
        <v>72</v>
      </c>
      <c r="D31" s="58">
        <v>196</v>
      </c>
      <c r="E31" s="58">
        <v>107</v>
      </c>
      <c r="F31" s="58">
        <v>258</v>
      </c>
      <c r="G31" s="58">
        <v>1405</v>
      </c>
      <c r="H31" s="58">
        <v>210</v>
      </c>
      <c r="I31" s="58">
        <v>140</v>
      </c>
      <c r="J31" s="58">
        <v>183</v>
      </c>
      <c r="K31" s="58">
        <v>426</v>
      </c>
      <c r="L31" s="58">
        <v>1020</v>
      </c>
      <c r="M31" s="58">
        <v>2698</v>
      </c>
      <c r="N31" s="58">
        <v>1254</v>
      </c>
    </row>
    <row r="32" spans="2:14" x14ac:dyDescent="0.25">
      <c r="B32" s="10" t="s">
        <v>15</v>
      </c>
      <c r="C32" s="58">
        <v>1424</v>
      </c>
      <c r="D32" s="58">
        <v>1588</v>
      </c>
      <c r="E32" s="58">
        <v>2712</v>
      </c>
      <c r="F32" s="58">
        <v>2652</v>
      </c>
      <c r="G32" s="58">
        <v>2141</v>
      </c>
      <c r="H32" s="58">
        <v>2569</v>
      </c>
      <c r="I32" s="58">
        <v>2019</v>
      </c>
      <c r="J32" s="58">
        <v>4737</v>
      </c>
      <c r="K32" s="58">
        <v>3248</v>
      </c>
      <c r="L32" s="58">
        <v>4262</v>
      </c>
      <c r="M32" s="58">
        <v>4588</v>
      </c>
      <c r="N32" s="58">
        <v>4725</v>
      </c>
    </row>
    <row r="33" spans="2:14" x14ac:dyDescent="0.25">
      <c r="B33" s="10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</row>
    <row r="34" spans="2:14" x14ac:dyDescent="0.25">
      <c r="B34" s="10" t="s">
        <v>177</v>
      </c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</row>
    <row r="35" spans="2:14" x14ac:dyDescent="0.25">
      <c r="B35" t="s">
        <v>178</v>
      </c>
      <c r="C35" s="58">
        <v>2070</v>
      </c>
      <c r="D35" s="58">
        <v>2259</v>
      </c>
      <c r="E35" s="58">
        <v>1998</v>
      </c>
      <c r="F35" s="58">
        <v>2627</v>
      </c>
      <c r="G35" s="58">
        <v>2658</v>
      </c>
      <c r="H35" s="58">
        <v>3150</v>
      </c>
      <c r="I35" s="58">
        <v>3390</v>
      </c>
      <c r="J35" s="58">
        <v>3799</v>
      </c>
      <c r="K35" s="58">
        <v>6153</v>
      </c>
      <c r="L35" s="58">
        <v>6211</v>
      </c>
      <c r="M35" s="58">
        <v>5923</v>
      </c>
      <c r="N35" s="58">
        <v>6719</v>
      </c>
    </row>
    <row r="36" spans="2:14" x14ac:dyDescent="0.25">
      <c r="B36" t="s">
        <v>179</v>
      </c>
      <c r="C36" s="58">
        <v>1110</v>
      </c>
      <c r="D36" s="58">
        <v>1182</v>
      </c>
      <c r="E36" s="58">
        <v>1187</v>
      </c>
      <c r="F36" s="58">
        <v>1447</v>
      </c>
      <c r="G36" s="58">
        <v>1731</v>
      </c>
      <c r="H36" s="58">
        <v>1907</v>
      </c>
      <c r="I36" s="58">
        <v>1795</v>
      </c>
      <c r="J36" s="58">
        <v>2602</v>
      </c>
      <c r="K36" s="58">
        <v>3871</v>
      </c>
      <c r="L36" s="58">
        <v>4637</v>
      </c>
      <c r="M36" s="58">
        <v>4889</v>
      </c>
      <c r="N36" s="58">
        <v>4314</v>
      </c>
    </row>
    <row r="37" spans="2:14" x14ac:dyDescent="0.25">
      <c r="B37" t="s">
        <v>180</v>
      </c>
      <c r="C37" s="58">
        <v>229</v>
      </c>
      <c r="D37" s="58">
        <v>204</v>
      </c>
      <c r="E37" s="58">
        <v>424</v>
      </c>
      <c r="F37" s="58">
        <v>801</v>
      </c>
      <c r="G37" s="58">
        <v>405</v>
      </c>
      <c r="H37" s="58">
        <v>445</v>
      </c>
      <c r="I37" s="58">
        <v>783</v>
      </c>
      <c r="J37" s="58">
        <v>611</v>
      </c>
      <c r="K37" s="58">
        <v>864</v>
      </c>
      <c r="L37" s="58">
        <v>844</v>
      </c>
      <c r="M37" s="58">
        <v>1084</v>
      </c>
      <c r="N37" s="58">
        <v>782</v>
      </c>
    </row>
    <row r="38" spans="2:14" x14ac:dyDescent="0.25">
      <c r="B38" t="s">
        <v>181</v>
      </c>
      <c r="C38" s="58">
        <v>7</v>
      </c>
      <c r="D38" s="58">
        <v>8</v>
      </c>
      <c r="E38" s="58">
        <v>9</v>
      </c>
      <c r="F38" s="58">
        <v>14</v>
      </c>
      <c r="G38" s="58">
        <v>13</v>
      </c>
      <c r="H38" s="58">
        <v>16</v>
      </c>
      <c r="I38" s="58">
        <v>12</v>
      </c>
      <c r="J38" s="58">
        <v>12</v>
      </c>
      <c r="K38" s="58">
        <v>8</v>
      </c>
      <c r="L38" s="58">
        <v>12</v>
      </c>
      <c r="M38" s="58">
        <v>17</v>
      </c>
      <c r="N38" s="58">
        <v>22</v>
      </c>
    </row>
    <row r="39" spans="2:14" x14ac:dyDescent="0.25">
      <c r="B39" t="s">
        <v>182</v>
      </c>
      <c r="C39" s="67">
        <v>603</v>
      </c>
      <c r="D39" s="67">
        <v>817</v>
      </c>
      <c r="E39" s="67">
        <v>705</v>
      </c>
      <c r="F39" s="67">
        <v>1303</v>
      </c>
      <c r="G39" s="67">
        <v>1678</v>
      </c>
      <c r="H39" s="67">
        <v>1456</v>
      </c>
      <c r="I39" s="67">
        <v>1727</v>
      </c>
      <c r="J39" s="67">
        <v>2554</v>
      </c>
      <c r="K39" s="67">
        <v>2869</v>
      </c>
      <c r="L39" s="67">
        <v>3024</v>
      </c>
      <c r="M39" s="67">
        <v>3555</v>
      </c>
      <c r="N39" s="67">
        <v>3319</v>
      </c>
    </row>
    <row r="40" spans="2:14" x14ac:dyDescent="0.25">
      <c r="B40" s="60" t="s">
        <v>82</v>
      </c>
      <c r="C40" s="68">
        <v>8075</v>
      </c>
      <c r="D40" s="68">
        <v>8914</v>
      </c>
      <c r="E40" s="68">
        <v>10559</v>
      </c>
      <c r="F40" s="68">
        <v>12405</v>
      </c>
      <c r="G40" s="68">
        <v>13763</v>
      </c>
      <c r="H40" s="68">
        <v>16249</v>
      </c>
      <c r="I40" s="68">
        <v>16138</v>
      </c>
      <c r="J40" s="68">
        <v>20355</v>
      </c>
      <c r="K40" s="68">
        <v>22958</v>
      </c>
      <c r="L40" s="68">
        <v>25779</v>
      </c>
      <c r="M40" s="68">
        <v>29901</v>
      </c>
      <c r="N40" s="68">
        <v>30355</v>
      </c>
    </row>
    <row r="43" spans="2:14" x14ac:dyDescent="0.25"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</row>
    <row r="44" spans="2:14" x14ac:dyDescent="0.25">
      <c r="B44" t="s">
        <v>115</v>
      </c>
      <c r="C44" s="26">
        <v>1402</v>
      </c>
      <c r="D44" s="26">
        <v>1188</v>
      </c>
      <c r="E44" s="26">
        <v>2243</v>
      </c>
      <c r="F44" s="26">
        <v>1527</v>
      </c>
      <c r="G44" s="26">
        <v>2113</v>
      </c>
      <c r="H44" s="26">
        <v>2470</v>
      </c>
      <c r="I44" s="26">
        <v>3038</v>
      </c>
      <c r="J44" s="26">
        <v>3683</v>
      </c>
      <c r="K44">
        <v>986</v>
      </c>
      <c r="L44" s="26">
        <v>4193</v>
      </c>
      <c r="M44" s="26">
        <v>6104</v>
      </c>
      <c r="N44" s="26">
        <v>4424</v>
      </c>
    </row>
    <row r="45" spans="2:14" x14ac:dyDescent="0.25">
      <c r="B45" t="s">
        <v>86</v>
      </c>
      <c r="C45" s="26">
        <v>2051</v>
      </c>
      <c r="D45" s="26">
        <v>2271</v>
      </c>
      <c r="E45" s="26">
        <v>2848</v>
      </c>
      <c r="F45" s="26">
        <v>3056</v>
      </c>
      <c r="G45" s="26">
        <v>3274</v>
      </c>
      <c r="H45" s="26">
        <v>3861</v>
      </c>
      <c r="I45" s="26">
        <v>4380</v>
      </c>
      <c r="J45" s="26">
        <v>4970</v>
      </c>
      <c r="K45" s="26">
        <v>4957</v>
      </c>
      <c r="L45" s="26">
        <v>6460</v>
      </c>
      <c r="M45" s="26">
        <v>7929</v>
      </c>
      <c r="N45" s="26">
        <v>6390</v>
      </c>
    </row>
    <row r="46" spans="2:14" x14ac:dyDescent="0.25">
      <c r="B46" t="s">
        <v>42</v>
      </c>
      <c r="C46">
        <v>-254</v>
      </c>
      <c r="D46">
        <v>-155</v>
      </c>
      <c r="E46">
        <v>-146</v>
      </c>
      <c r="F46">
        <v>-475</v>
      </c>
      <c r="G46">
        <v>-483</v>
      </c>
      <c r="H46">
        <v>-205</v>
      </c>
      <c r="I46">
        <v>160</v>
      </c>
      <c r="J46" s="26">
        <v>-1342</v>
      </c>
      <c r="K46" s="26">
        <v>-1326</v>
      </c>
      <c r="L46">
        <v>-834</v>
      </c>
      <c r="M46">
        <v>-362</v>
      </c>
      <c r="N46">
        <v>282</v>
      </c>
    </row>
    <row r="47" spans="2:14" x14ac:dyDescent="0.25">
      <c r="B47" t="s">
        <v>29</v>
      </c>
      <c r="C47">
        <v>-231</v>
      </c>
      <c r="D47">
        <v>-144</v>
      </c>
      <c r="E47">
        <v>202</v>
      </c>
      <c r="F47">
        <v>-629</v>
      </c>
      <c r="G47">
        <v>-39</v>
      </c>
      <c r="H47">
        <v>-492</v>
      </c>
      <c r="I47">
        <v>-251</v>
      </c>
      <c r="J47">
        <v>-409</v>
      </c>
      <c r="K47" s="26">
        <v>-2354</v>
      </c>
      <c r="L47">
        <v>-56</v>
      </c>
      <c r="M47">
        <v>315</v>
      </c>
      <c r="N47">
        <v>-805</v>
      </c>
    </row>
    <row r="48" spans="2:14" x14ac:dyDescent="0.25">
      <c r="B48" t="s">
        <v>87</v>
      </c>
      <c r="C48">
        <v>317</v>
      </c>
      <c r="D48">
        <v>-151</v>
      </c>
      <c r="E48">
        <v>142</v>
      </c>
      <c r="F48">
        <v>501</v>
      </c>
      <c r="G48">
        <v>442</v>
      </c>
      <c r="H48">
        <v>287</v>
      </c>
      <c r="I48">
        <v>-241</v>
      </c>
      <c r="J48" s="26">
        <v>1544</v>
      </c>
      <c r="K48">
        <v>644</v>
      </c>
      <c r="L48">
        <v>-539</v>
      </c>
      <c r="M48">
        <v>269</v>
      </c>
      <c r="N48">
        <v>-160</v>
      </c>
    </row>
    <row r="49" spans="2:14" x14ac:dyDescent="0.25">
      <c r="B49" t="s">
        <v>89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242</v>
      </c>
      <c r="L49">
        <v>657</v>
      </c>
      <c r="M49">
        <v>-212</v>
      </c>
      <c r="N49">
        <v>114</v>
      </c>
    </row>
    <row r="50" spans="2:14" x14ac:dyDescent="0.25">
      <c r="B50" t="s">
        <v>90</v>
      </c>
      <c r="C50">
        <v>-168</v>
      </c>
      <c r="D50">
        <v>-450</v>
      </c>
      <c r="E50">
        <v>198</v>
      </c>
      <c r="F50">
        <v>-603</v>
      </c>
      <c r="G50">
        <v>-80</v>
      </c>
      <c r="H50">
        <v>-410</v>
      </c>
      <c r="I50">
        <v>-331</v>
      </c>
      <c r="J50">
        <v>-206</v>
      </c>
      <c r="K50" s="26">
        <v>-2795</v>
      </c>
      <c r="L50">
        <v>-772</v>
      </c>
      <c r="M50">
        <v>10</v>
      </c>
      <c r="N50">
        <v>-570</v>
      </c>
    </row>
    <row r="51" spans="2:14" x14ac:dyDescent="0.25">
      <c r="B51" t="s">
        <v>91</v>
      </c>
      <c r="C51">
        <v>-480</v>
      </c>
      <c r="D51">
        <v>-633</v>
      </c>
      <c r="E51">
        <v>-802</v>
      </c>
      <c r="F51">
        <v>-925</v>
      </c>
      <c r="G51" s="26">
        <v>-1081</v>
      </c>
      <c r="H51">
        <v>-982</v>
      </c>
      <c r="I51" s="26">
        <v>-1011</v>
      </c>
      <c r="J51" s="26">
        <v>-1080</v>
      </c>
      <c r="K51" s="26">
        <v>-1176</v>
      </c>
      <c r="L51" s="26">
        <v>-1494</v>
      </c>
      <c r="M51" s="26">
        <v>-1835</v>
      </c>
      <c r="N51" s="26">
        <v>-1396</v>
      </c>
    </row>
    <row r="52" spans="2:14" x14ac:dyDescent="0.25">
      <c r="B52" t="s">
        <v>116</v>
      </c>
      <c r="C52">
        <v>-586</v>
      </c>
      <c r="D52">
        <v>-465</v>
      </c>
      <c r="E52">
        <v>-866</v>
      </c>
      <c r="F52">
        <v>-681</v>
      </c>
      <c r="G52" s="26">
        <v>-1556</v>
      </c>
      <c r="H52">
        <v>-918</v>
      </c>
      <c r="I52">
        <v>-518</v>
      </c>
      <c r="J52">
        <v>-541</v>
      </c>
      <c r="K52">
        <v>-317</v>
      </c>
      <c r="L52" s="26">
        <v>-1282</v>
      </c>
      <c r="M52" s="26">
        <v>-2548</v>
      </c>
      <c r="N52">
        <v>-941</v>
      </c>
    </row>
    <row r="53" spans="2:14" x14ac:dyDescent="0.25">
      <c r="B53" t="s">
        <v>94</v>
      </c>
      <c r="C53">
        <v>-251</v>
      </c>
      <c r="D53">
        <v>-454</v>
      </c>
      <c r="E53">
        <v>-817</v>
      </c>
      <c r="F53">
        <v>-684</v>
      </c>
      <c r="G53" s="26">
        <v>-1426</v>
      </c>
      <c r="H53" s="26">
        <v>-1151</v>
      </c>
      <c r="I53">
        <v>-414</v>
      </c>
      <c r="J53">
        <v>-289</v>
      </c>
      <c r="K53">
        <v>-551</v>
      </c>
      <c r="L53" s="26">
        <v>-1446</v>
      </c>
      <c r="M53" s="26">
        <v>-2496</v>
      </c>
      <c r="N53" s="26">
        <v>-1830</v>
      </c>
    </row>
    <row r="54" spans="2:14" x14ac:dyDescent="0.25">
      <c r="B54" t="s">
        <v>95</v>
      </c>
      <c r="C54">
        <v>16</v>
      </c>
      <c r="D54">
        <v>16</v>
      </c>
      <c r="E54">
        <v>15</v>
      </c>
      <c r="F54">
        <v>17</v>
      </c>
      <c r="G54">
        <v>17</v>
      </c>
      <c r="H54">
        <v>17</v>
      </c>
      <c r="I54">
        <v>37</v>
      </c>
      <c r="J54">
        <v>28</v>
      </c>
      <c r="K54">
        <v>40</v>
      </c>
      <c r="L54">
        <v>26</v>
      </c>
      <c r="M54">
        <v>5</v>
      </c>
      <c r="N54">
        <v>10</v>
      </c>
    </row>
    <row r="55" spans="2:14" x14ac:dyDescent="0.25">
      <c r="B55" t="s">
        <v>96</v>
      </c>
      <c r="C55">
        <v>-872</v>
      </c>
      <c r="D55">
        <v>-243</v>
      </c>
      <c r="E55">
        <v>-282</v>
      </c>
      <c r="F55">
        <v>-153</v>
      </c>
      <c r="G55">
        <v>-320</v>
      </c>
      <c r="H55">
        <v>-573</v>
      </c>
      <c r="I55">
        <v>-25</v>
      </c>
      <c r="J55">
        <v>-140</v>
      </c>
      <c r="K55">
        <v>0</v>
      </c>
      <c r="L55">
        <v>-146</v>
      </c>
      <c r="M55">
        <v>-212</v>
      </c>
      <c r="N55">
        <v>-1</v>
      </c>
    </row>
    <row r="56" spans="2:14" x14ac:dyDescent="0.25">
      <c r="B56" t="s">
        <v>97</v>
      </c>
      <c r="C56">
        <v>463</v>
      </c>
      <c r="D56">
        <v>278</v>
      </c>
      <c r="E56">
        <v>205</v>
      </c>
      <c r="F56">
        <v>357</v>
      </c>
      <c r="G56">
        <v>362</v>
      </c>
      <c r="H56">
        <v>733</v>
      </c>
      <c r="I56">
        <v>118</v>
      </c>
      <c r="J56">
        <v>272</v>
      </c>
      <c r="K56">
        <v>207</v>
      </c>
      <c r="L56">
        <v>446</v>
      </c>
      <c r="M56">
        <v>240</v>
      </c>
      <c r="N56">
        <v>421</v>
      </c>
    </row>
    <row r="57" spans="2:14" x14ac:dyDescent="0.25">
      <c r="B57" t="s">
        <v>98</v>
      </c>
      <c r="C57">
        <v>14</v>
      </c>
      <c r="D57">
        <v>11</v>
      </c>
      <c r="E57">
        <v>15</v>
      </c>
      <c r="F57">
        <v>32</v>
      </c>
      <c r="G57">
        <v>39</v>
      </c>
      <c r="H57">
        <v>40</v>
      </c>
      <c r="I57">
        <v>65</v>
      </c>
      <c r="J57">
        <v>73</v>
      </c>
      <c r="K57">
        <v>77</v>
      </c>
      <c r="L57">
        <v>87</v>
      </c>
      <c r="M57">
        <v>135</v>
      </c>
      <c r="N57">
        <v>155</v>
      </c>
    </row>
    <row r="58" spans="2:14" x14ac:dyDescent="0.25">
      <c r="B58" t="s">
        <v>99</v>
      </c>
      <c r="C58">
        <v>65</v>
      </c>
      <c r="D58">
        <v>71</v>
      </c>
      <c r="E58">
        <v>69</v>
      </c>
      <c r="F58">
        <v>74</v>
      </c>
      <c r="G58">
        <v>38</v>
      </c>
      <c r="H58">
        <v>40</v>
      </c>
      <c r="I58">
        <v>27</v>
      </c>
      <c r="J58">
        <v>8</v>
      </c>
      <c r="K58">
        <v>15</v>
      </c>
      <c r="L58">
        <v>56</v>
      </c>
      <c r="M58">
        <v>129</v>
      </c>
      <c r="N58">
        <v>136</v>
      </c>
    </row>
    <row r="59" spans="2:14" x14ac:dyDescent="0.25">
      <c r="B59" t="s">
        <v>197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-180</v>
      </c>
      <c r="M59">
        <v>0</v>
      </c>
      <c r="N59">
        <v>0</v>
      </c>
    </row>
    <row r="60" spans="2:14" x14ac:dyDescent="0.25">
      <c r="B60" t="s">
        <v>100</v>
      </c>
      <c r="C60">
        <v>0</v>
      </c>
      <c r="D60">
        <v>0</v>
      </c>
      <c r="E60">
        <v>0</v>
      </c>
      <c r="F60">
        <v>0</v>
      </c>
      <c r="G60">
        <v>141</v>
      </c>
      <c r="H60">
        <v>0</v>
      </c>
      <c r="I60">
        <v>17</v>
      </c>
      <c r="J60">
        <v>0</v>
      </c>
      <c r="K60">
        <v>0</v>
      </c>
      <c r="L60">
        <v>0</v>
      </c>
      <c r="M60">
        <v>0</v>
      </c>
      <c r="N60">
        <v>38</v>
      </c>
    </row>
    <row r="61" spans="2:14" x14ac:dyDescent="0.25">
      <c r="B61" t="s">
        <v>101</v>
      </c>
      <c r="C61">
        <v>0</v>
      </c>
      <c r="D61">
        <v>0</v>
      </c>
      <c r="E61">
        <v>0</v>
      </c>
      <c r="F61">
        <v>0</v>
      </c>
      <c r="G61">
        <v>-525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2:14" x14ac:dyDescent="0.25">
      <c r="B62" t="s">
        <v>102</v>
      </c>
      <c r="C62">
        <v>-21</v>
      </c>
      <c r="D62">
        <v>-144</v>
      </c>
      <c r="E62">
        <v>-70</v>
      </c>
      <c r="F62">
        <v>-324</v>
      </c>
      <c r="G62">
        <v>118</v>
      </c>
      <c r="H62">
        <v>-24</v>
      </c>
      <c r="I62">
        <v>-343</v>
      </c>
      <c r="J62">
        <v>-493</v>
      </c>
      <c r="K62">
        <v>-105</v>
      </c>
      <c r="L62">
        <v>-126</v>
      </c>
      <c r="M62">
        <v>-350</v>
      </c>
      <c r="N62">
        <v>130</v>
      </c>
    </row>
    <row r="63" spans="2:14" x14ac:dyDescent="0.25">
      <c r="B63" t="s">
        <v>117</v>
      </c>
      <c r="C63">
        <v>-626</v>
      </c>
      <c r="D63">
        <v>-576</v>
      </c>
      <c r="E63">
        <v>-849</v>
      </c>
      <c r="F63">
        <v>-756</v>
      </c>
      <c r="G63" s="26">
        <v>-1379</v>
      </c>
      <c r="H63" s="26">
        <v>-1117</v>
      </c>
      <c r="I63" s="26">
        <v>-2871</v>
      </c>
      <c r="J63">
        <v>-650</v>
      </c>
      <c r="K63" s="26">
        <v>-1808</v>
      </c>
      <c r="L63" s="26">
        <v>-2140</v>
      </c>
      <c r="M63" s="26">
        <v>-2982</v>
      </c>
      <c r="N63" s="26">
        <v>-3753</v>
      </c>
    </row>
    <row r="64" spans="2:14" x14ac:dyDescent="0.25">
      <c r="B64" t="s">
        <v>198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</row>
    <row r="65" spans="2:14" x14ac:dyDescent="0.25">
      <c r="B65" t="s">
        <v>105</v>
      </c>
      <c r="C65">
        <v>44</v>
      </c>
      <c r="D65">
        <v>239</v>
      </c>
      <c r="E65">
        <v>8</v>
      </c>
      <c r="F65">
        <v>271</v>
      </c>
      <c r="G65">
        <v>10</v>
      </c>
      <c r="H65">
        <v>243</v>
      </c>
      <c r="I65">
        <v>18</v>
      </c>
      <c r="J65">
        <v>155</v>
      </c>
      <c r="K65">
        <v>418</v>
      </c>
      <c r="L65">
        <v>254</v>
      </c>
      <c r="M65">
        <v>101</v>
      </c>
      <c r="N65">
        <v>415</v>
      </c>
    </row>
    <row r="66" spans="2:14" x14ac:dyDescent="0.25">
      <c r="B66" t="s">
        <v>106</v>
      </c>
      <c r="C66">
        <v>-81</v>
      </c>
      <c r="D66">
        <v>-86</v>
      </c>
      <c r="E66">
        <v>-119</v>
      </c>
      <c r="F66">
        <v>-58</v>
      </c>
      <c r="G66">
        <v>-54</v>
      </c>
      <c r="H66">
        <v>-26</v>
      </c>
      <c r="I66">
        <v>-482</v>
      </c>
      <c r="J66">
        <v>-14</v>
      </c>
      <c r="K66">
        <v>-8</v>
      </c>
      <c r="L66">
        <v>-25</v>
      </c>
      <c r="M66">
        <v>-98</v>
      </c>
      <c r="N66">
        <v>-428</v>
      </c>
    </row>
    <row r="67" spans="2:14" x14ac:dyDescent="0.25">
      <c r="B67" t="s">
        <v>107</v>
      </c>
      <c r="C67">
        <v>-42</v>
      </c>
      <c r="D67">
        <v>-35</v>
      </c>
      <c r="E67">
        <v>-40</v>
      </c>
      <c r="F67">
        <v>-36</v>
      </c>
      <c r="G67">
        <v>-35</v>
      </c>
      <c r="H67">
        <v>-106</v>
      </c>
      <c r="I67">
        <v>-101</v>
      </c>
      <c r="J67">
        <v>-89</v>
      </c>
      <c r="K67">
        <v>-94</v>
      </c>
      <c r="L67">
        <v>-142</v>
      </c>
      <c r="M67">
        <v>-191</v>
      </c>
      <c r="N67">
        <v>-203</v>
      </c>
    </row>
    <row r="68" spans="2:14" x14ac:dyDescent="0.25">
      <c r="B68" t="s">
        <v>108</v>
      </c>
      <c r="C68">
        <v>-547</v>
      </c>
      <c r="D68">
        <v>-695</v>
      </c>
      <c r="E68">
        <v>-764</v>
      </c>
      <c r="F68">
        <v>-947</v>
      </c>
      <c r="G68" s="26">
        <v>-1218</v>
      </c>
      <c r="H68" s="26">
        <v>-1049</v>
      </c>
      <c r="I68" s="26">
        <v>-2121</v>
      </c>
      <c r="J68">
        <v>-499</v>
      </c>
      <c r="K68" s="26">
        <v>-1763</v>
      </c>
      <c r="L68" s="26">
        <v>-1936</v>
      </c>
      <c r="M68" s="26">
        <v>-2551</v>
      </c>
      <c r="N68" s="26">
        <v>-3140</v>
      </c>
    </row>
    <row r="69" spans="2:14" x14ac:dyDescent="0.25">
      <c r="B69" t="s">
        <v>109</v>
      </c>
      <c r="C69">
        <v>0</v>
      </c>
      <c r="D69">
        <v>0</v>
      </c>
      <c r="E69">
        <v>0</v>
      </c>
      <c r="F69">
        <v>0</v>
      </c>
      <c r="G69">
        <v>0</v>
      </c>
      <c r="H69">
        <v>-180</v>
      </c>
      <c r="I69">
        <v>-179</v>
      </c>
      <c r="J69">
        <v>-203</v>
      </c>
      <c r="K69">
        <v>-221</v>
      </c>
      <c r="L69">
        <v>-256</v>
      </c>
      <c r="M69">
        <v>-286</v>
      </c>
      <c r="N69">
        <v>-325</v>
      </c>
    </row>
    <row r="70" spans="2:14" x14ac:dyDescent="0.25">
      <c r="B70" t="s">
        <v>110</v>
      </c>
      <c r="C70">
        <v>0</v>
      </c>
      <c r="D70">
        <v>0</v>
      </c>
      <c r="E70">
        <v>66</v>
      </c>
      <c r="F70">
        <v>13</v>
      </c>
      <c r="G70">
        <v>-82</v>
      </c>
      <c r="H70">
        <v>0</v>
      </c>
      <c r="I70">
        <v>-6</v>
      </c>
      <c r="J70">
        <v>0</v>
      </c>
      <c r="K70">
        <v>-140</v>
      </c>
      <c r="L70">
        <v>-36</v>
      </c>
      <c r="M70">
        <v>41</v>
      </c>
      <c r="N70">
        <v>-72</v>
      </c>
    </row>
    <row r="71" spans="2:14" x14ac:dyDescent="0.25">
      <c r="B71" t="s">
        <v>20</v>
      </c>
      <c r="C71">
        <v>190</v>
      </c>
      <c r="D71">
        <v>147</v>
      </c>
      <c r="E71">
        <v>528</v>
      </c>
      <c r="F71">
        <v>90</v>
      </c>
      <c r="G71">
        <v>-822</v>
      </c>
      <c r="H71">
        <v>434</v>
      </c>
      <c r="I71">
        <v>-351</v>
      </c>
      <c r="J71" s="26">
        <v>2492</v>
      </c>
      <c r="K71" s="26">
        <v>-1138</v>
      </c>
      <c r="L71">
        <v>771</v>
      </c>
      <c r="M71">
        <v>573</v>
      </c>
      <c r="N71">
        <v>-270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0"/>
  <sheetViews>
    <sheetView showGridLines="0" topLeftCell="A15" workbookViewId="0">
      <selection activeCell="J24" sqref="J24"/>
    </sheetView>
  </sheetViews>
  <sheetFormatPr defaultRowHeight="15" outlineLevelRow="1" x14ac:dyDescent="0.25"/>
  <cols>
    <col min="1" max="1" width="1.85546875" customWidth="1"/>
    <col min="2" max="2" width="27.5703125" bestFit="1" customWidth="1"/>
    <col min="4" max="4" width="12.140625" bestFit="1" customWidth="1"/>
  </cols>
  <sheetData>
    <row r="2" spans="2:10" x14ac:dyDescent="0.25">
      <c r="B2" s="46" t="s">
        <v>209</v>
      </c>
      <c r="C2" s="89"/>
      <c r="D2" s="89"/>
      <c r="E2" s="90">
        <f>'Intrisic Growth'!K2</f>
        <v>45717</v>
      </c>
      <c r="F2" s="91">
        <f>E2+365</f>
        <v>46082</v>
      </c>
      <c r="G2" s="91">
        <f>F2+366</f>
        <v>46448</v>
      </c>
      <c r="H2" s="91">
        <f t="shared" ref="H2:J2" si="0">G2+365</f>
        <v>46813</v>
      </c>
      <c r="I2" s="91">
        <f t="shared" si="0"/>
        <v>47178</v>
      </c>
      <c r="J2" s="91">
        <f t="shared" si="0"/>
        <v>47543</v>
      </c>
    </row>
    <row r="4" spans="2:10" x14ac:dyDescent="0.25">
      <c r="B4" s="69" t="s">
        <v>194</v>
      </c>
      <c r="C4" s="69"/>
      <c r="D4" s="69"/>
      <c r="E4" s="145">
        <f>'Data Sheet'!K33-'Data Sheet'!K26</f>
        <v>5287.6100000000006</v>
      </c>
      <c r="F4" s="69">
        <f>E4*(1+$D$14)</f>
        <v>5922.1232000000009</v>
      </c>
      <c r="G4" s="69">
        <f>F4*(1+$D$14)</f>
        <v>6632.7779840000012</v>
      </c>
      <c r="H4" s="69">
        <f>G4*(1+$D$14)</f>
        <v>7428.7113420800024</v>
      </c>
      <c r="I4" s="69">
        <f>H4*(1+$D$14)</f>
        <v>8320.1567031296036</v>
      </c>
      <c r="J4" s="69">
        <f>I4*(1+$D$14)</f>
        <v>9318.5755075051566</v>
      </c>
    </row>
    <row r="5" spans="2:10" x14ac:dyDescent="0.25">
      <c r="B5" s="69" t="s">
        <v>210</v>
      </c>
      <c r="C5" s="69"/>
      <c r="D5" s="69"/>
      <c r="E5" s="146">
        <v>0.25</v>
      </c>
      <c r="F5" s="85">
        <f>E5</f>
        <v>0.25</v>
      </c>
      <c r="G5" s="85">
        <f t="shared" ref="G5:J5" si="1">F5</f>
        <v>0.25</v>
      </c>
      <c r="H5" s="85">
        <f t="shared" si="1"/>
        <v>0.25</v>
      </c>
      <c r="I5" s="85">
        <f t="shared" si="1"/>
        <v>0.25</v>
      </c>
      <c r="J5" s="85">
        <f t="shared" si="1"/>
        <v>0.25</v>
      </c>
    </row>
    <row r="6" spans="2:10" x14ac:dyDescent="0.25">
      <c r="B6" s="69" t="s">
        <v>202</v>
      </c>
      <c r="C6" s="69"/>
      <c r="D6" s="69"/>
      <c r="E6" s="147">
        <f t="shared" ref="E6:J6" si="2">E4*(1-E5)</f>
        <v>3965.7075000000004</v>
      </c>
      <c r="F6" s="69">
        <f t="shared" si="2"/>
        <v>4441.5924000000005</v>
      </c>
      <c r="G6" s="69">
        <f t="shared" si="2"/>
        <v>4974.5834880000011</v>
      </c>
      <c r="H6" s="69">
        <f t="shared" si="2"/>
        <v>5571.533506560002</v>
      </c>
      <c r="I6" s="69">
        <f t="shared" si="2"/>
        <v>6240.1175273472027</v>
      </c>
      <c r="J6" s="69">
        <f t="shared" si="2"/>
        <v>6988.9316306288674</v>
      </c>
    </row>
    <row r="7" spans="2:10" x14ac:dyDescent="0.25">
      <c r="B7" s="69" t="s">
        <v>211</v>
      </c>
      <c r="C7" s="69"/>
      <c r="D7" s="69"/>
      <c r="E7" s="146">
        <f>'Intrisic Growth'!K51</f>
        <v>0.51020142795082957</v>
      </c>
      <c r="F7" s="85">
        <f>((E7+($J$7-$E$7)/4))</f>
        <v>0.5180010709631222</v>
      </c>
      <c r="G7" s="85">
        <f t="shared" ref="G7:I7" si="3">((F7+($J$7-$E$7)/4))</f>
        <v>0.52580071397541484</v>
      </c>
      <c r="H7" s="85">
        <f t="shared" si="3"/>
        <v>0.53360035698770747</v>
      </c>
      <c r="I7" s="85">
        <f t="shared" si="3"/>
        <v>0.5414000000000001</v>
      </c>
      <c r="J7" s="85">
        <f>54.14%</f>
        <v>0.54139999999999999</v>
      </c>
    </row>
    <row r="8" spans="2:10" x14ac:dyDescent="0.25">
      <c r="B8" s="69" t="s">
        <v>212</v>
      </c>
      <c r="C8" s="69"/>
      <c r="D8" s="69"/>
      <c r="E8" s="147">
        <f t="shared" ref="E8:J8" si="4">E6*(1-E7)</f>
        <v>1942.3978706646858</v>
      </c>
      <c r="F8" s="69">
        <f t="shared" si="4"/>
        <v>2140.8427800183358</v>
      </c>
      <c r="G8" s="69">
        <f t="shared" si="4"/>
        <v>2358.9439382792912</v>
      </c>
      <c r="H8" s="69">
        <f t="shared" si="4"/>
        <v>2598.5612384906112</v>
      </c>
      <c r="I8" s="69">
        <f t="shared" si="4"/>
        <v>2861.7178980414265</v>
      </c>
      <c r="J8" s="69">
        <f t="shared" si="4"/>
        <v>3205.1240458063985</v>
      </c>
    </row>
    <row r="9" spans="2:10" x14ac:dyDescent="0.25">
      <c r="B9" s="69" t="s">
        <v>213</v>
      </c>
      <c r="C9" s="69"/>
      <c r="D9" s="69"/>
      <c r="E9" s="147"/>
      <c r="F9" s="69">
        <f>0.5</f>
        <v>0.5</v>
      </c>
      <c r="G9" s="69">
        <f>1+F9</f>
        <v>1.5</v>
      </c>
      <c r="H9" s="69">
        <f t="shared" ref="H9:J9" si="5">1+G9</f>
        <v>2.5</v>
      </c>
      <c r="I9" s="69">
        <f t="shared" si="5"/>
        <v>3.5</v>
      </c>
      <c r="J9" s="69">
        <f t="shared" si="5"/>
        <v>4.5</v>
      </c>
    </row>
    <row r="10" spans="2:10" x14ac:dyDescent="0.25">
      <c r="B10" s="69" t="s">
        <v>214</v>
      </c>
      <c r="C10" s="69"/>
      <c r="D10" s="69"/>
      <c r="E10" s="147"/>
      <c r="F10" s="148">
        <f>1/(1+$D$16)^F9</f>
        <v>0.93057886665853973</v>
      </c>
      <c r="G10" s="148">
        <f t="shared" ref="G10:J10" si="6">1/(1+$D$16)^G9</f>
        <v>0.80585992040452104</v>
      </c>
      <c r="H10" s="148">
        <f t="shared" si="6"/>
        <v>0.69785617810797662</v>
      </c>
      <c r="I10" s="148">
        <f t="shared" si="6"/>
        <v>0.60432741844141957</v>
      </c>
      <c r="J10" s="148">
        <f t="shared" si="6"/>
        <v>0.52333366119969016</v>
      </c>
    </row>
    <row r="11" spans="2:10" ht="3.75" customHeight="1" x14ac:dyDescent="0.25">
      <c r="E11" s="82"/>
    </row>
    <row r="12" spans="2:10" ht="15.75" thickBot="1" x14ac:dyDescent="0.3">
      <c r="B12" s="149" t="s">
        <v>215</v>
      </c>
      <c r="C12" s="74"/>
      <c r="D12" s="74"/>
      <c r="E12" s="150"/>
      <c r="F12" s="74">
        <f>F8*F10</f>
        <v>1992.2230479235805</v>
      </c>
      <c r="G12" s="74">
        <f t="shared" ref="G12:J12" si="7">G8*G10</f>
        <v>1900.9783743404769</v>
      </c>
      <c r="H12" s="74">
        <f t="shared" si="7"/>
        <v>1813.4220144725882</v>
      </c>
      <c r="I12" s="74">
        <f t="shared" si="7"/>
        <v>1729.4145896309808</v>
      </c>
      <c r="J12" s="74">
        <f t="shared" si="7"/>
        <v>1677.3493014910259</v>
      </c>
    </row>
    <row r="14" spans="2:10" outlineLevel="1" x14ac:dyDescent="0.25">
      <c r="B14" s="142" t="s">
        <v>216</v>
      </c>
      <c r="C14" s="142"/>
      <c r="D14" s="143">
        <v>0.12</v>
      </c>
    </row>
    <row r="15" spans="2:10" outlineLevel="1" x14ac:dyDescent="0.25">
      <c r="B15" s="142" t="s">
        <v>217</v>
      </c>
      <c r="C15" s="142"/>
      <c r="D15" s="144">
        <v>5.1999999999999998E-2</v>
      </c>
    </row>
    <row r="16" spans="2:10" outlineLevel="1" x14ac:dyDescent="0.25">
      <c r="B16" s="142" t="s">
        <v>218</v>
      </c>
      <c r="C16" s="142"/>
      <c r="D16" s="144">
        <f>WACC!K42</f>
        <v>0.15476504426651844</v>
      </c>
    </row>
    <row r="18" spans="2:10" x14ac:dyDescent="0.25">
      <c r="B18" s="46" t="s">
        <v>263</v>
      </c>
      <c r="C18" s="89"/>
      <c r="D18" s="89"/>
      <c r="F18" s="46" t="s">
        <v>277</v>
      </c>
      <c r="G18" s="89"/>
      <c r="H18" s="89"/>
      <c r="I18" s="89"/>
      <c r="J18" s="89"/>
    </row>
    <row r="19" spans="2:10" x14ac:dyDescent="0.25">
      <c r="F19" s="157">
        <f>D37</f>
        <v>284.70871868323189</v>
      </c>
      <c r="G19" s="158">
        <v>0.13</v>
      </c>
      <c r="H19" s="158">
        <v>0.15479999999999999</v>
      </c>
      <c r="I19" s="158">
        <v>0.17</v>
      </c>
      <c r="J19" s="158">
        <v>0.19</v>
      </c>
    </row>
    <row r="20" spans="2:10" x14ac:dyDescent="0.25">
      <c r="B20" t="s">
        <v>264</v>
      </c>
      <c r="D20">
        <f>J8*(1+D14)</f>
        <v>3589.7389313031667</v>
      </c>
      <c r="F20" s="158">
        <v>0.03</v>
      </c>
      <c r="G20">
        <f t="dataTable" ref="G20:J24" dt2D="1" dtr="1" r1="D21" r2="D22"/>
        <v>289.97788847826109</v>
      </c>
      <c r="H20">
        <v>251.0623885239863</v>
      </c>
      <c r="I20">
        <v>234.02564891266778</v>
      </c>
      <c r="J20">
        <v>216.54057404841993</v>
      </c>
    </row>
    <row r="21" spans="2:10" x14ac:dyDescent="0.25">
      <c r="B21" t="s">
        <v>218</v>
      </c>
      <c r="D21" s="92">
        <f>D16</f>
        <v>0.15476504426651844</v>
      </c>
      <c r="F21" s="158">
        <v>0.04</v>
      </c>
      <c r="G21">
        <v>311.73709275376967</v>
      </c>
      <c r="H21">
        <v>264.73114623524953</v>
      </c>
      <c r="I21">
        <v>244.78569498297423</v>
      </c>
      <c r="J21">
        <v>224.70027565173558</v>
      </c>
    </row>
    <row r="22" spans="2:10" ht="12.75" customHeight="1" x14ac:dyDescent="0.25">
      <c r="B22" t="s">
        <v>265</v>
      </c>
      <c r="D22" s="92">
        <f>D15</f>
        <v>5.1999999999999998E-2</v>
      </c>
      <c r="F22" s="158">
        <v>5.1999999999999998E-2</v>
      </c>
      <c r="G22">
        <v>345.21279163916739</v>
      </c>
      <c r="H22">
        <v>284.64392011500416</v>
      </c>
      <c r="I22">
        <v>260.1050826084952</v>
      </c>
      <c r="J22">
        <v>236.05290396939222</v>
      </c>
    </row>
    <row r="23" spans="2:10" ht="14.25" customHeight="1" x14ac:dyDescent="0.25">
      <c r="F23" s="158">
        <v>0.06</v>
      </c>
      <c r="G23">
        <v>373.90624782665117</v>
      </c>
      <c r="H23">
        <v>300.71977413325902</v>
      </c>
      <c r="I23">
        <v>272.17490316193596</v>
      </c>
      <c r="J23">
        <v>244.78569498297423</v>
      </c>
    </row>
    <row r="24" spans="2:10" ht="15.75" thickBot="1" x14ac:dyDescent="0.3">
      <c r="B24" s="74" t="s">
        <v>266</v>
      </c>
      <c r="C24" s="74"/>
      <c r="D24" s="74">
        <f>D20/(D21-D22)</f>
        <v>34931.51739411772</v>
      </c>
      <c r="F24" s="158">
        <v>7.0000000000000007E-2</v>
      </c>
      <c r="G24">
        <v>420.53311413131229</v>
      </c>
      <c r="H24">
        <v>325.08000103592116</v>
      </c>
      <c r="I24">
        <v>289.97788847826109</v>
      </c>
      <c r="J24">
        <v>257.33908206499837</v>
      </c>
    </row>
    <row r="26" spans="2:10" x14ac:dyDescent="0.25">
      <c r="B26" s="46" t="s">
        <v>271</v>
      </c>
      <c r="C26" s="89"/>
      <c r="D26" s="89"/>
    </row>
    <row r="28" spans="2:10" x14ac:dyDescent="0.25">
      <c r="B28" t="s">
        <v>215</v>
      </c>
      <c r="D28" s="123">
        <f>SUM(F12:J12)</f>
        <v>9113.3873278586525</v>
      </c>
    </row>
    <row r="29" spans="2:10" x14ac:dyDescent="0.25">
      <c r="B29" t="s">
        <v>267</v>
      </c>
      <c r="D29" s="123">
        <f>D24*J10</f>
        <v>18280.838889124287</v>
      </c>
    </row>
    <row r="30" spans="2:10" x14ac:dyDescent="0.25">
      <c r="B30" s="10" t="s">
        <v>268</v>
      </c>
      <c r="C30" s="10"/>
      <c r="D30" s="151">
        <f>SUM(D28:D29)</f>
        <v>27394.226216982941</v>
      </c>
    </row>
    <row r="31" spans="2:10" x14ac:dyDescent="0.25">
      <c r="B31" s="10"/>
      <c r="C31" s="10"/>
      <c r="D31" s="151"/>
    </row>
    <row r="32" spans="2:10" x14ac:dyDescent="0.25">
      <c r="B32" s="13" t="s">
        <v>269</v>
      </c>
      <c r="C32" s="10"/>
      <c r="D32" s="152">
        <f>'Data Sheet'!K69</f>
        <v>781.98</v>
      </c>
    </row>
    <row r="33" spans="2:4" x14ac:dyDescent="0.25">
      <c r="B33" s="13" t="s">
        <v>270</v>
      </c>
      <c r="C33" s="10"/>
      <c r="D33" s="152">
        <f>SUM('Raw FS'!N7:N8)</f>
        <v>864</v>
      </c>
    </row>
    <row r="34" spans="2:4" x14ac:dyDescent="0.25">
      <c r="B34" s="10" t="s">
        <v>272</v>
      </c>
      <c r="C34" s="10"/>
      <c r="D34" s="151">
        <f>D30+D32-D33</f>
        <v>27312.206216982941</v>
      </c>
    </row>
    <row r="35" spans="2:4" x14ac:dyDescent="0.25">
      <c r="B35" s="138" t="s">
        <v>273</v>
      </c>
      <c r="C35" s="65"/>
      <c r="D35" s="153">
        <f>'Data Sheet'!B6</f>
        <v>95.930347139704622</v>
      </c>
    </row>
    <row r="36" spans="2:4" ht="4.5" customHeight="1" x14ac:dyDescent="0.25"/>
    <row r="37" spans="2:4" ht="15.75" thickBot="1" x14ac:dyDescent="0.3">
      <c r="B37" s="93" t="s">
        <v>274</v>
      </c>
      <c r="C37" s="93"/>
      <c r="D37" s="154">
        <f>D34/D35</f>
        <v>284.70871868323189</v>
      </c>
    </row>
    <row r="39" spans="2:4" x14ac:dyDescent="0.25">
      <c r="B39" t="s">
        <v>275</v>
      </c>
      <c r="D39" s="155">
        <v>2352</v>
      </c>
    </row>
    <row r="40" spans="2:4" x14ac:dyDescent="0.25">
      <c r="B40" t="s">
        <v>276</v>
      </c>
      <c r="D40" s="156">
        <f>D39/D37-1</f>
        <v>7.2610747253470844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2:Q8"/>
  <sheetViews>
    <sheetView showGridLines="0" tabSelected="1" workbookViewId="0">
      <selection activeCell="L12" sqref="L12"/>
    </sheetView>
  </sheetViews>
  <sheetFormatPr defaultRowHeight="15" x14ac:dyDescent="0.25"/>
  <cols>
    <col min="1" max="1" width="1.85546875" customWidth="1"/>
    <col min="14" max="14" width="9.5703125" bestFit="1" customWidth="1"/>
    <col min="16" max="16" width="11.5703125" bestFit="1" customWidth="1"/>
  </cols>
  <sheetData>
    <row r="2" spans="12:17" x14ac:dyDescent="0.25">
      <c r="L2" s="46" t="s">
        <v>342</v>
      </c>
      <c r="M2" s="89"/>
      <c r="N2" s="89"/>
      <c r="O2" s="89"/>
      <c r="P2" s="89"/>
      <c r="Q2" s="89"/>
    </row>
    <row r="3" spans="12:17" x14ac:dyDescent="0.25">
      <c r="N3" s="189" t="s">
        <v>338</v>
      </c>
      <c r="O3" s="189" t="s">
        <v>339</v>
      </c>
      <c r="P3" s="189" t="s">
        <v>340</v>
      </c>
      <c r="Q3" s="189" t="s">
        <v>341</v>
      </c>
    </row>
    <row r="4" spans="12:17" x14ac:dyDescent="0.25">
      <c r="L4" t="s">
        <v>334</v>
      </c>
      <c r="N4">
        <v>162.5</v>
      </c>
      <c r="O4">
        <v>162.5</v>
      </c>
      <c r="P4">
        <v>184.7</v>
      </c>
      <c r="Q4">
        <v>184.7</v>
      </c>
    </row>
    <row r="5" spans="12:17" x14ac:dyDescent="0.25">
      <c r="L5" t="s">
        <v>335</v>
      </c>
      <c r="N5" s="123">
        <v>216.54057404841993</v>
      </c>
      <c r="O5" s="123">
        <v>216.54057404841993</v>
      </c>
      <c r="P5" s="123">
        <v>257.33908206499837</v>
      </c>
      <c r="Q5" s="123">
        <v>257.33908206499837</v>
      </c>
    </row>
    <row r="6" spans="12:17" x14ac:dyDescent="0.25">
      <c r="L6" t="s">
        <v>343</v>
      </c>
      <c r="N6">
        <v>251.06</v>
      </c>
      <c r="O6">
        <v>251.06</v>
      </c>
      <c r="P6">
        <v>325.08</v>
      </c>
      <c r="Q6">
        <v>325.08</v>
      </c>
    </row>
    <row r="7" spans="12:17" x14ac:dyDescent="0.25">
      <c r="L7" t="s">
        <v>336</v>
      </c>
      <c r="N7" s="123">
        <v>289.97788847826098</v>
      </c>
      <c r="O7" s="123">
        <v>289.97788847826098</v>
      </c>
      <c r="P7" s="123">
        <v>420.53311413131229</v>
      </c>
      <c r="Q7" s="123">
        <v>420.53311413131229</v>
      </c>
    </row>
    <row r="8" spans="12:17" x14ac:dyDescent="0.25">
      <c r="L8" t="s">
        <v>337</v>
      </c>
      <c r="N8">
        <v>126</v>
      </c>
      <c r="O8">
        <v>126</v>
      </c>
      <c r="P8">
        <v>199</v>
      </c>
      <c r="Q8">
        <v>199</v>
      </c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zoomScale="120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B33" sqref="B33"/>
    </sheetView>
  </sheetViews>
  <sheetFormatPr defaultColWidth="8.85546875" defaultRowHeight="15" x14ac:dyDescent="0.25"/>
  <cols>
    <col min="1" max="1" width="27.7109375" style="2" bestFit="1" customWidth="1"/>
    <col min="2" max="11" width="13.42578125" style="2" bestFit="1" customWidth="1"/>
    <col min="12" max="16384" width="8.85546875" style="2"/>
  </cols>
  <sheetData>
    <row r="1" spans="1:11" s="1" customFormat="1" x14ac:dyDescent="0.25">
      <c r="A1" s="1" t="s">
        <v>0</v>
      </c>
      <c r="B1" s="1" t="s">
        <v>32</v>
      </c>
      <c r="E1" s="161" t="str">
        <f>IF(B2&lt;&gt;B3, "A NEW VERSION OF THE WORKSHEET IS AVAILABLE", "")</f>
        <v/>
      </c>
      <c r="F1" s="161"/>
      <c r="G1" s="161"/>
      <c r="H1" s="161"/>
      <c r="I1" s="161"/>
      <c r="J1" s="161"/>
      <c r="K1" s="161"/>
    </row>
    <row r="2" spans="1:11" x14ac:dyDescent="0.25">
      <c r="A2" s="1" t="s">
        <v>30</v>
      </c>
      <c r="B2" s="2">
        <v>2.1</v>
      </c>
      <c r="E2" s="162" t="s">
        <v>21</v>
      </c>
      <c r="F2" s="162"/>
      <c r="G2" s="162"/>
      <c r="H2" s="162"/>
      <c r="I2" s="162"/>
      <c r="J2" s="162"/>
      <c r="K2" s="162"/>
    </row>
    <row r="3" spans="1:11" x14ac:dyDescent="0.25">
      <c r="A3" s="1" t="s">
        <v>31</v>
      </c>
      <c r="B3" s="2">
        <v>2.1</v>
      </c>
    </row>
    <row r="4" spans="1:11" x14ac:dyDescent="0.25">
      <c r="A4" s="1"/>
    </row>
    <row r="5" spans="1:11" x14ac:dyDescent="0.25">
      <c r="A5" s="1" t="s">
        <v>33</v>
      </c>
    </row>
    <row r="6" spans="1:11" x14ac:dyDescent="0.25">
      <c r="A6" s="2" t="s">
        <v>27</v>
      </c>
      <c r="B6" s="2">
        <f>IF(B9&gt;0, B9/B8, 0)</f>
        <v>95.930347139704622</v>
      </c>
    </row>
    <row r="7" spans="1:11" x14ac:dyDescent="0.25">
      <c r="A7" s="2" t="s">
        <v>16</v>
      </c>
      <c r="B7">
        <v>1</v>
      </c>
    </row>
    <row r="8" spans="1:11" x14ac:dyDescent="0.25">
      <c r="A8" s="2" t="s">
        <v>28</v>
      </c>
      <c r="B8">
        <v>2356.4</v>
      </c>
    </row>
    <row r="9" spans="1:11" x14ac:dyDescent="0.25">
      <c r="A9" s="2" t="s">
        <v>43</v>
      </c>
      <c r="B9">
        <v>226050.27</v>
      </c>
    </row>
    <row r="15" spans="1:11" x14ac:dyDescent="0.25">
      <c r="A15" s="1" t="s">
        <v>22</v>
      </c>
    </row>
    <row r="16" spans="1:11" s="6" customFormat="1" x14ac:dyDescent="0.25">
      <c r="A16" s="5" t="s">
        <v>23</v>
      </c>
      <c r="B16" s="4">
        <v>42460</v>
      </c>
      <c r="C16" s="4">
        <v>42825</v>
      </c>
      <c r="D16" s="4">
        <v>43190</v>
      </c>
      <c r="E16" s="4">
        <v>43555</v>
      </c>
      <c r="F16" s="4">
        <v>43921</v>
      </c>
      <c r="G16" s="4">
        <v>44286</v>
      </c>
      <c r="H16" s="4">
        <v>44651</v>
      </c>
      <c r="I16" s="4">
        <v>45016</v>
      </c>
      <c r="J16" s="4">
        <v>45382</v>
      </c>
      <c r="K16" s="4">
        <v>45747</v>
      </c>
    </row>
    <row r="17" spans="1:11" s="3" customFormat="1" x14ac:dyDescent="0.25">
      <c r="A17" s="3" t="s">
        <v>1</v>
      </c>
      <c r="B17">
        <v>14271.49</v>
      </c>
      <c r="C17">
        <v>15061.99</v>
      </c>
      <c r="D17">
        <v>16824.55</v>
      </c>
      <c r="E17">
        <v>19240.13</v>
      </c>
      <c r="F17">
        <v>20211.25</v>
      </c>
      <c r="G17">
        <v>21712.79</v>
      </c>
      <c r="H17">
        <v>29101.279999999999</v>
      </c>
      <c r="I17">
        <v>34488.589999999997</v>
      </c>
      <c r="J17">
        <v>35494.730000000003</v>
      </c>
      <c r="K17">
        <v>33905.620000000003</v>
      </c>
    </row>
    <row r="18" spans="1:11" s="3" customFormat="1" x14ac:dyDescent="0.25">
      <c r="A18" s="2" t="s">
        <v>44</v>
      </c>
      <c r="B18">
        <v>6569.83</v>
      </c>
      <c r="C18">
        <v>7452.6</v>
      </c>
      <c r="D18">
        <v>8128.17</v>
      </c>
      <c r="E18">
        <v>9974.4</v>
      </c>
      <c r="F18">
        <v>9981.99</v>
      </c>
      <c r="G18">
        <v>10425.549999999999</v>
      </c>
      <c r="H18">
        <v>17123.25</v>
      </c>
      <c r="I18">
        <v>18985.53</v>
      </c>
      <c r="J18">
        <v>17410.84</v>
      </c>
      <c r="K18">
        <v>17504.509999999998</v>
      </c>
    </row>
    <row r="19" spans="1:11" s="3" customFormat="1" x14ac:dyDescent="0.25">
      <c r="A19" s="2" t="s">
        <v>45</v>
      </c>
      <c r="B19">
        <v>-199.33</v>
      </c>
      <c r="C19">
        <v>528.6</v>
      </c>
      <c r="D19">
        <v>-142.13</v>
      </c>
      <c r="E19">
        <v>293.26</v>
      </c>
      <c r="F19">
        <v>239.15</v>
      </c>
      <c r="G19">
        <v>92.45</v>
      </c>
      <c r="H19">
        <v>1324.97</v>
      </c>
      <c r="I19">
        <v>309.73</v>
      </c>
      <c r="J19">
        <v>-363.8</v>
      </c>
      <c r="K19">
        <v>205</v>
      </c>
    </row>
    <row r="20" spans="1:11" s="3" customFormat="1" x14ac:dyDescent="0.25">
      <c r="A20" s="2" t="s">
        <v>46</v>
      </c>
      <c r="B20">
        <v>114.48</v>
      </c>
      <c r="C20">
        <v>106.02</v>
      </c>
      <c r="D20">
        <v>110.3</v>
      </c>
      <c r="E20">
        <v>119.63</v>
      </c>
      <c r="F20">
        <v>97.79</v>
      </c>
      <c r="G20">
        <v>86.05</v>
      </c>
      <c r="H20">
        <v>117.23</v>
      </c>
      <c r="I20">
        <v>138.29</v>
      </c>
      <c r="J20">
        <v>133.25</v>
      </c>
      <c r="K20">
        <v>148.58000000000001</v>
      </c>
    </row>
    <row r="21" spans="1:11" s="3" customFormat="1" x14ac:dyDescent="0.25">
      <c r="A21" s="2" t="s">
        <v>47</v>
      </c>
      <c r="B21">
        <v>1535.22</v>
      </c>
      <c r="C21">
        <v>1662.75</v>
      </c>
      <c r="D21">
        <v>1691.68</v>
      </c>
      <c r="E21">
        <v>1862.35</v>
      </c>
      <c r="F21">
        <v>1946.12</v>
      </c>
      <c r="G21">
        <v>2068.31</v>
      </c>
      <c r="H21">
        <v>2880.45</v>
      </c>
      <c r="I21">
        <v>2916.2</v>
      </c>
      <c r="J21">
        <v>2767.18</v>
      </c>
      <c r="K21">
        <v>2687.4</v>
      </c>
    </row>
    <row r="22" spans="1:11" s="3" customFormat="1" x14ac:dyDescent="0.25">
      <c r="A22" s="2" t="s">
        <v>48</v>
      </c>
      <c r="B22">
        <v>994.98</v>
      </c>
      <c r="C22">
        <v>1039.8900000000001</v>
      </c>
      <c r="D22">
        <v>1121.8900000000001</v>
      </c>
      <c r="E22">
        <v>1242.69</v>
      </c>
      <c r="F22">
        <v>1371.27</v>
      </c>
      <c r="G22">
        <v>1547.61</v>
      </c>
      <c r="H22">
        <v>1794.61</v>
      </c>
      <c r="I22">
        <v>2036.41</v>
      </c>
      <c r="J22">
        <v>2334.92</v>
      </c>
      <c r="K22">
        <v>2605.7800000000002</v>
      </c>
    </row>
    <row r="23" spans="1:11" s="3" customFormat="1" x14ac:dyDescent="0.25">
      <c r="A23" s="2" t="s">
        <v>49</v>
      </c>
      <c r="B23">
        <v>3912.3</v>
      </c>
      <c r="C23">
        <v>4364.04</v>
      </c>
      <c r="D23">
        <v>2254.92</v>
      </c>
      <c r="E23">
        <v>2366.87</v>
      </c>
      <c r="F23">
        <v>2311.5100000000002</v>
      </c>
      <c r="G23">
        <v>2245.69</v>
      </c>
      <c r="H23">
        <v>2941.98</v>
      </c>
      <c r="I23">
        <v>3500.84</v>
      </c>
      <c r="J23">
        <v>3811.86</v>
      </c>
      <c r="K23">
        <v>3874.94</v>
      </c>
    </row>
    <row r="24" spans="1:11" s="3" customFormat="1" x14ac:dyDescent="0.25">
      <c r="A24" s="2" t="s">
        <v>50</v>
      </c>
      <c r="B24">
        <v>-1779.69</v>
      </c>
      <c r="C24">
        <v>-2028.47</v>
      </c>
      <c r="D24">
        <v>171.45</v>
      </c>
      <c r="E24">
        <v>202.51</v>
      </c>
      <c r="F24">
        <v>579.95000000000005</v>
      </c>
      <c r="G24">
        <v>576.42999999999995</v>
      </c>
      <c r="H24">
        <v>765.12</v>
      </c>
      <c r="I24">
        <v>961.21</v>
      </c>
      <c r="J24">
        <v>1087.9000000000001</v>
      </c>
      <c r="K24">
        <v>1283.2</v>
      </c>
    </row>
    <row r="25" spans="1:11" s="3" customFormat="1" x14ac:dyDescent="0.25">
      <c r="A25" s="3" t="s">
        <v>4</v>
      </c>
      <c r="B25">
        <v>213.39</v>
      </c>
      <c r="C25">
        <v>337.9</v>
      </c>
      <c r="D25">
        <v>336.41</v>
      </c>
      <c r="E25">
        <v>273.77</v>
      </c>
      <c r="F25">
        <v>350.1</v>
      </c>
      <c r="G25">
        <v>331.65</v>
      </c>
      <c r="H25">
        <v>295.88</v>
      </c>
      <c r="I25">
        <v>431.46</v>
      </c>
      <c r="J25">
        <v>820.96</v>
      </c>
      <c r="K25">
        <v>350.22</v>
      </c>
    </row>
    <row r="26" spans="1:11" s="3" customFormat="1" x14ac:dyDescent="0.25">
      <c r="A26" s="3" t="s">
        <v>5</v>
      </c>
      <c r="B26">
        <v>275.58</v>
      </c>
      <c r="C26">
        <v>334.79</v>
      </c>
      <c r="D26">
        <v>360.47</v>
      </c>
      <c r="E26">
        <v>622.14</v>
      </c>
      <c r="F26">
        <v>780.5</v>
      </c>
      <c r="G26">
        <v>791.27</v>
      </c>
      <c r="H26">
        <v>816.36</v>
      </c>
      <c r="I26">
        <v>858.02</v>
      </c>
      <c r="J26">
        <v>853</v>
      </c>
      <c r="K26">
        <v>1026.3399999999999</v>
      </c>
    </row>
    <row r="27" spans="1:11" s="3" customFormat="1" x14ac:dyDescent="0.25">
      <c r="A27" s="3" t="s">
        <v>6</v>
      </c>
      <c r="B27">
        <v>49</v>
      </c>
      <c r="C27">
        <v>37.33</v>
      </c>
      <c r="D27">
        <v>41.47</v>
      </c>
      <c r="E27">
        <v>110.47</v>
      </c>
      <c r="F27">
        <v>102.33</v>
      </c>
      <c r="G27">
        <v>91.63</v>
      </c>
      <c r="H27">
        <v>95.41</v>
      </c>
      <c r="I27">
        <v>144.44999999999999</v>
      </c>
      <c r="J27">
        <v>205.17</v>
      </c>
      <c r="K27">
        <v>227.02</v>
      </c>
    </row>
    <row r="28" spans="1:11" s="3" customFormat="1" x14ac:dyDescent="0.25">
      <c r="A28" s="3" t="s">
        <v>7</v>
      </c>
      <c r="B28">
        <v>2613.85</v>
      </c>
      <c r="C28">
        <v>2959.54</v>
      </c>
      <c r="D28">
        <v>3138.48</v>
      </c>
      <c r="E28">
        <v>3306.1</v>
      </c>
      <c r="F28">
        <v>3629.04</v>
      </c>
      <c r="G28">
        <v>4304.3500000000004</v>
      </c>
      <c r="H28">
        <v>4187.72</v>
      </c>
      <c r="I28">
        <v>5688.83</v>
      </c>
      <c r="J28">
        <v>7347.77</v>
      </c>
      <c r="K28">
        <v>5103.07</v>
      </c>
    </row>
    <row r="29" spans="1:11" s="3" customFormat="1" x14ac:dyDescent="0.25">
      <c r="A29" s="3" t="s">
        <v>8</v>
      </c>
      <c r="B29">
        <v>844.49</v>
      </c>
      <c r="C29">
        <v>943.29</v>
      </c>
      <c r="D29">
        <v>1040.96</v>
      </c>
      <c r="E29">
        <v>1098.06</v>
      </c>
      <c r="F29">
        <v>854.85</v>
      </c>
      <c r="G29">
        <v>1097.5999999999999</v>
      </c>
      <c r="H29">
        <v>1102.9100000000001</v>
      </c>
      <c r="I29">
        <v>1493.5</v>
      </c>
      <c r="J29">
        <v>1790.08</v>
      </c>
      <c r="K29">
        <v>1393.36</v>
      </c>
    </row>
    <row r="30" spans="1:11" s="3" customFormat="1" x14ac:dyDescent="0.25">
      <c r="A30" s="3" t="s">
        <v>9</v>
      </c>
      <c r="B30">
        <v>1745.16</v>
      </c>
      <c r="C30">
        <v>1939.43</v>
      </c>
      <c r="D30">
        <v>2038.93</v>
      </c>
      <c r="E30">
        <v>2155.92</v>
      </c>
      <c r="F30">
        <v>2705.17</v>
      </c>
      <c r="G30">
        <v>3139.29</v>
      </c>
      <c r="H30">
        <v>3030.57</v>
      </c>
      <c r="I30">
        <v>4106.45</v>
      </c>
      <c r="J30">
        <v>5460.23</v>
      </c>
      <c r="K30">
        <v>3667.23</v>
      </c>
    </row>
    <row r="31" spans="1:11" s="3" customFormat="1" x14ac:dyDescent="0.25">
      <c r="A31" s="3" t="s">
        <v>34</v>
      </c>
      <c r="B31">
        <v>719.4</v>
      </c>
      <c r="C31">
        <v>987.98</v>
      </c>
      <c r="D31">
        <v>834.5</v>
      </c>
      <c r="E31">
        <v>1007.16</v>
      </c>
      <c r="F31">
        <v>1151.04</v>
      </c>
      <c r="G31">
        <v>1712.17</v>
      </c>
      <c r="H31">
        <v>1836.87</v>
      </c>
      <c r="I31">
        <v>2460.35</v>
      </c>
      <c r="J31">
        <v>3194.14</v>
      </c>
      <c r="K31">
        <v>2378.8200000000002</v>
      </c>
    </row>
    <row r="32" spans="1:11" s="3" customFormat="1" x14ac:dyDescent="0.25"/>
    <row r="33" spans="1:11" x14ac:dyDescent="0.25">
      <c r="A33" s="2" t="s">
        <v>66</v>
      </c>
      <c r="B33" s="2">
        <f>B30+B29+B27+B26</f>
        <v>2914.23</v>
      </c>
      <c r="C33" s="2">
        <f t="shared" ref="C33:K33" si="0">C30+C29+C27+C26</f>
        <v>3254.84</v>
      </c>
      <c r="D33" s="2">
        <f t="shared" si="0"/>
        <v>3481.83</v>
      </c>
      <c r="E33" s="2">
        <f t="shared" si="0"/>
        <v>3986.5899999999997</v>
      </c>
      <c r="F33" s="2">
        <f t="shared" si="0"/>
        <v>4442.8500000000004</v>
      </c>
      <c r="G33" s="2">
        <f t="shared" si="0"/>
        <v>5119.7899999999991</v>
      </c>
      <c r="H33" s="2">
        <f t="shared" si="0"/>
        <v>5045.25</v>
      </c>
      <c r="I33" s="2">
        <f t="shared" si="0"/>
        <v>6602.42</v>
      </c>
      <c r="J33" s="2">
        <f t="shared" si="0"/>
        <v>8308.48</v>
      </c>
      <c r="K33" s="2">
        <f t="shared" si="0"/>
        <v>6313.9500000000007</v>
      </c>
    </row>
    <row r="34" spans="1:11" x14ac:dyDescent="0.25">
      <c r="A34" s="3"/>
    </row>
    <row r="35" spans="1:11" x14ac:dyDescent="0.25">
      <c r="A35" s="3"/>
    </row>
    <row r="36" spans="1:11" x14ac:dyDescent="0.25">
      <c r="A36" s="3"/>
    </row>
    <row r="37" spans="1:11" x14ac:dyDescent="0.25">
      <c r="A37" s="3"/>
    </row>
    <row r="38" spans="1:11" x14ac:dyDescent="0.25">
      <c r="A38" s="3"/>
    </row>
    <row r="39" spans="1:11" x14ac:dyDescent="0.25">
      <c r="A39" s="3"/>
    </row>
    <row r="40" spans="1:11" x14ac:dyDescent="0.25">
      <c r="A40" s="1" t="s">
        <v>24</v>
      </c>
    </row>
    <row r="41" spans="1:11" s="6" customFormat="1" x14ac:dyDescent="0.25">
      <c r="A41" s="5" t="s">
        <v>23</v>
      </c>
      <c r="B41" s="4">
        <v>45199</v>
      </c>
      <c r="C41" s="4">
        <v>45291</v>
      </c>
      <c r="D41" s="4">
        <v>45382</v>
      </c>
      <c r="E41" s="4">
        <v>45473</v>
      </c>
      <c r="F41" s="4">
        <v>45565</v>
      </c>
      <c r="G41" s="4">
        <v>45657</v>
      </c>
      <c r="H41" s="4">
        <v>45747</v>
      </c>
      <c r="I41" s="4">
        <v>45838</v>
      </c>
      <c r="J41" s="4">
        <v>45930</v>
      </c>
      <c r="K41" s="4">
        <v>46022</v>
      </c>
    </row>
    <row r="42" spans="1:11" s="3" customFormat="1" x14ac:dyDescent="0.25">
      <c r="A42" s="3" t="s">
        <v>1</v>
      </c>
      <c r="B42">
        <v>8478.57</v>
      </c>
      <c r="C42">
        <v>9103.09</v>
      </c>
      <c r="D42">
        <v>8730.76</v>
      </c>
      <c r="E42">
        <v>8969.73</v>
      </c>
      <c r="F42">
        <v>8027.54</v>
      </c>
      <c r="G42">
        <v>8549.44</v>
      </c>
      <c r="H42">
        <v>8358.91</v>
      </c>
      <c r="I42">
        <v>8938.5499999999993</v>
      </c>
      <c r="J42">
        <v>8531.27</v>
      </c>
      <c r="K42">
        <v>8867.02</v>
      </c>
    </row>
    <row r="43" spans="1:11" s="3" customFormat="1" x14ac:dyDescent="0.25">
      <c r="A43" s="3" t="s">
        <v>2</v>
      </c>
      <c r="B43">
        <v>6762.34</v>
      </c>
      <c r="C43">
        <v>7047</v>
      </c>
      <c r="D43">
        <v>7039.39</v>
      </c>
      <c r="E43">
        <v>7275.96</v>
      </c>
      <c r="F43">
        <v>6788.03</v>
      </c>
      <c r="G43">
        <v>6912.71</v>
      </c>
      <c r="H43">
        <v>6922.71</v>
      </c>
      <c r="I43">
        <v>7313.58</v>
      </c>
      <c r="J43">
        <v>7027.89</v>
      </c>
      <c r="K43">
        <v>7086.06</v>
      </c>
    </row>
    <row r="44" spans="1:11" s="3" customFormat="1" x14ac:dyDescent="0.25">
      <c r="A44" s="3" t="s">
        <v>4</v>
      </c>
      <c r="B44">
        <v>194.33</v>
      </c>
      <c r="C44">
        <v>186.46</v>
      </c>
      <c r="D44">
        <v>212.43</v>
      </c>
      <c r="E44">
        <v>192.93</v>
      </c>
      <c r="F44">
        <v>24.53</v>
      </c>
      <c r="G44">
        <v>192.82</v>
      </c>
      <c r="H44">
        <v>-60.06</v>
      </c>
      <c r="I44">
        <v>229.11</v>
      </c>
      <c r="J44">
        <v>236.94</v>
      </c>
      <c r="K44">
        <v>69.14</v>
      </c>
    </row>
    <row r="45" spans="1:11" s="3" customFormat="1" x14ac:dyDescent="0.25">
      <c r="A45" s="3" t="s">
        <v>5</v>
      </c>
      <c r="B45">
        <v>208.72</v>
      </c>
      <c r="C45">
        <v>220.35</v>
      </c>
      <c r="D45">
        <v>225.61</v>
      </c>
      <c r="E45">
        <v>227.7</v>
      </c>
      <c r="F45">
        <v>241.99</v>
      </c>
      <c r="G45">
        <v>255.55</v>
      </c>
      <c r="H45">
        <v>301.10000000000002</v>
      </c>
      <c r="I45">
        <v>300.87</v>
      </c>
      <c r="J45">
        <v>304.93</v>
      </c>
      <c r="K45">
        <v>313.07</v>
      </c>
    </row>
    <row r="46" spans="1:11" s="3" customFormat="1" x14ac:dyDescent="0.25">
      <c r="A46" s="3" t="s">
        <v>6</v>
      </c>
      <c r="B46">
        <v>50.9</v>
      </c>
      <c r="C46">
        <v>54.42</v>
      </c>
      <c r="D46">
        <v>54.1</v>
      </c>
      <c r="E46">
        <v>55.38</v>
      </c>
      <c r="F46">
        <v>63.01</v>
      </c>
      <c r="G46">
        <v>55.84</v>
      </c>
      <c r="H46">
        <v>52.79</v>
      </c>
      <c r="I46">
        <v>44.5</v>
      </c>
      <c r="J46">
        <v>43.87</v>
      </c>
      <c r="K46">
        <v>47.94</v>
      </c>
    </row>
    <row r="47" spans="1:11" s="3" customFormat="1" x14ac:dyDescent="0.25">
      <c r="A47" s="3" t="s">
        <v>7</v>
      </c>
      <c r="B47">
        <v>1650.94</v>
      </c>
      <c r="C47">
        <v>1967.78</v>
      </c>
      <c r="D47">
        <v>1624.09</v>
      </c>
      <c r="E47">
        <v>1603.62</v>
      </c>
      <c r="F47">
        <v>959.04</v>
      </c>
      <c r="G47">
        <v>1518.16</v>
      </c>
      <c r="H47">
        <v>1022.25</v>
      </c>
      <c r="I47">
        <v>1508.71</v>
      </c>
      <c r="J47">
        <v>1391.52</v>
      </c>
      <c r="K47">
        <v>1489.09</v>
      </c>
    </row>
    <row r="48" spans="1:11" s="3" customFormat="1" x14ac:dyDescent="0.25">
      <c r="A48" s="3" t="s">
        <v>8</v>
      </c>
      <c r="B48">
        <v>418.55</v>
      </c>
      <c r="C48">
        <v>492.62</v>
      </c>
      <c r="D48">
        <v>348.79</v>
      </c>
      <c r="E48">
        <v>416.83</v>
      </c>
      <c r="F48">
        <v>265.38</v>
      </c>
      <c r="G48">
        <v>389.73</v>
      </c>
      <c r="H48">
        <v>321.42</v>
      </c>
      <c r="I48">
        <v>391.66</v>
      </c>
      <c r="J48">
        <v>373.29</v>
      </c>
      <c r="K48">
        <v>415.17</v>
      </c>
    </row>
    <row r="49" spans="1:11" s="3" customFormat="1" x14ac:dyDescent="0.25">
      <c r="A49" s="3" t="s">
        <v>9</v>
      </c>
      <c r="B49">
        <v>1205.42</v>
      </c>
      <c r="C49">
        <v>1447.72</v>
      </c>
      <c r="D49">
        <v>1256.72</v>
      </c>
      <c r="E49">
        <v>1169.98</v>
      </c>
      <c r="F49">
        <v>694.64</v>
      </c>
      <c r="G49">
        <v>1110.48</v>
      </c>
      <c r="H49">
        <v>692.13</v>
      </c>
      <c r="I49">
        <v>1099.77</v>
      </c>
      <c r="J49">
        <v>993.59</v>
      </c>
      <c r="K49">
        <v>1059.8699999999999</v>
      </c>
    </row>
    <row r="50" spans="1:11" x14ac:dyDescent="0.25">
      <c r="A50" s="3" t="s">
        <v>3</v>
      </c>
      <c r="B50">
        <v>1716.23</v>
      </c>
      <c r="C50">
        <v>2056.09</v>
      </c>
      <c r="D50">
        <v>1691.37</v>
      </c>
      <c r="E50">
        <v>1693.77</v>
      </c>
      <c r="F50">
        <v>1239.51</v>
      </c>
      <c r="G50">
        <v>1636.73</v>
      </c>
      <c r="H50">
        <v>1436.2</v>
      </c>
      <c r="I50">
        <v>1624.97</v>
      </c>
      <c r="J50">
        <v>1503.38</v>
      </c>
      <c r="K50">
        <v>1780.96</v>
      </c>
    </row>
    <row r="51" spans="1:11" x14ac:dyDescent="0.25">
      <c r="A51" s="3" t="s">
        <v>66</v>
      </c>
      <c r="B51">
        <f>B50+B45</f>
        <v>1924.95</v>
      </c>
      <c r="C51">
        <f t="shared" ref="C51:K51" si="1">C50+C45</f>
        <v>2276.44</v>
      </c>
      <c r="D51">
        <f t="shared" si="1"/>
        <v>1916.98</v>
      </c>
      <c r="E51">
        <f t="shared" si="1"/>
        <v>1921.47</v>
      </c>
      <c r="F51">
        <f t="shared" si="1"/>
        <v>1481.5</v>
      </c>
      <c r="G51">
        <f t="shared" si="1"/>
        <v>1892.28</v>
      </c>
      <c r="H51">
        <f t="shared" si="1"/>
        <v>1737.3000000000002</v>
      </c>
      <c r="I51">
        <f t="shared" si="1"/>
        <v>1925.8400000000001</v>
      </c>
      <c r="J51">
        <f t="shared" si="1"/>
        <v>1808.3100000000002</v>
      </c>
      <c r="K51">
        <f t="shared" si="1"/>
        <v>2094.0300000000002</v>
      </c>
    </row>
    <row r="52" spans="1:11" x14ac:dyDescent="0.25">
      <c r="A52" s="3"/>
    </row>
    <row r="53" spans="1:11" x14ac:dyDescent="0.25">
      <c r="A53" s="3"/>
    </row>
    <row r="54" spans="1:11" x14ac:dyDescent="0.25">
      <c r="A54" s="3"/>
    </row>
    <row r="55" spans="1:11" x14ac:dyDescent="0.25">
      <c r="A55" s="1" t="s">
        <v>25</v>
      </c>
    </row>
    <row r="56" spans="1:11" s="6" customFormat="1" x14ac:dyDescent="0.25">
      <c r="A56" s="5" t="s">
        <v>23</v>
      </c>
      <c r="B56" s="4">
        <v>42460</v>
      </c>
      <c r="C56" s="4">
        <v>42825</v>
      </c>
      <c r="D56" s="4">
        <v>43190</v>
      </c>
      <c r="E56" s="4">
        <v>43555</v>
      </c>
      <c r="F56" s="4">
        <v>43921</v>
      </c>
      <c r="G56" s="4">
        <v>44286</v>
      </c>
      <c r="H56" s="4">
        <v>44651</v>
      </c>
      <c r="I56" s="4">
        <v>45016</v>
      </c>
      <c r="J56" s="4">
        <v>45382</v>
      </c>
      <c r="K56" s="4">
        <v>45747</v>
      </c>
    </row>
    <row r="57" spans="1:11" x14ac:dyDescent="0.25">
      <c r="A57" s="3" t="s">
        <v>10</v>
      </c>
      <c r="B57">
        <v>95.92</v>
      </c>
      <c r="C57">
        <v>95.92</v>
      </c>
      <c r="D57">
        <v>95.92</v>
      </c>
      <c r="E57">
        <v>95.92</v>
      </c>
      <c r="F57">
        <v>95.92</v>
      </c>
      <c r="G57">
        <v>95.92</v>
      </c>
      <c r="H57">
        <v>95.92</v>
      </c>
      <c r="I57">
        <v>95.92</v>
      </c>
      <c r="J57">
        <v>95.92</v>
      </c>
      <c r="K57">
        <v>95.92</v>
      </c>
    </row>
    <row r="58" spans="1:11" x14ac:dyDescent="0.25">
      <c r="A58" s="3" t="s">
        <v>11</v>
      </c>
      <c r="B58">
        <v>6428.9</v>
      </c>
      <c r="C58">
        <v>7507.97</v>
      </c>
      <c r="D58">
        <v>8314.31</v>
      </c>
      <c r="E58">
        <v>9374.6299999999992</v>
      </c>
      <c r="F58">
        <v>10034.24</v>
      </c>
      <c r="G58">
        <v>12710.37</v>
      </c>
      <c r="H58">
        <v>13715.64</v>
      </c>
      <c r="I58">
        <v>15896.31</v>
      </c>
      <c r="J58">
        <v>18632.38</v>
      </c>
      <c r="K58">
        <v>19303.89</v>
      </c>
    </row>
    <row r="59" spans="1:11" x14ac:dyDescent="0.25">
      <c r="A59" s="3" t="s">
        <v>35</v>
      </c>
      <c r="B59">
        <v>323.29000000000002</v>
      </c>
      <c r="C59">
        <v>560.34</v>
      </c>
      <c r="D59">
        <v>533.42999999999995</v>
      </c>
      <c r="E59">
        <v>1319.6</v>
      </c>
      <c r="F59">
        <v>1118.5</v>
      </c>
      <c r="G59">
        <v>1093.1199999999999</v>
      </c>
      <c r="H59">
        <v>1586.88</v>
      </c>
      <c r="I59">
        <v>1932.62</v>
      </c>
      <c r="J59">
        <v>2474.38</v>
      </c>
      <c r="K59">
        <v>2290.29</v>
      </c>
    </row>
    <row r="60" spans="1:11" x14ac:dyDescent="0.25">
      <c r="A60" s="3" t="s">
        <v>36</v>
      </c>
      <c r="B60">
        <v>3710.92</v>
      </c>
      <c r="C60">
        <v>4240.96</v>
      </c>
      <c r="D60">
        <v>4819.82</v>
      </c>
      <c r="E60">
        <v>5458.69</v>
      </c>
      <c r="F60">
        <v>4889.3100000000004</v>
      </c>
      <c r="G60">
        <v>6455.93</v>
      </c>
      <c r="H60">
        <v>7559.99</v>
      </c>
      <c r="I60">
        <v>7854.48</v>
      </c>
      <c r="J60">
        <v>8698.09</v>
      </c>
      <c r="K60">
        <v>8665.15</v>
      </c>
    </row>
    <row r="61" spans="1:11" s="1" customFormat="1" x14ac:dyDescent="0.25">
      <c r="A61" s="1" t="s">
        <v>12</v>
      </c>
      <c r="B61">
        <v>10559.03</v>
      </c>
      <c r="C61">
        <v>12405.19</v>
      </c>
      <c r="D61">
        <v>13763.48</v>
      </c>
      <c r="E61" s="13">
        <v>16248.84</v>
      </c>
      <c r="F61">
        <v>16137.97</v>
      </c>
      <c r="G61">
        <v>20355.34</v>
      </c>
      <c r="H61">
        <v>22958.43</v>
      </c>
      <c r="I61">
        <v>25779.33</v>
      </c>
      <c r="J61">
        <v>29900.77</v>
      </c>
      <c r="K61">
        <v>30355.25</v>
      </c>
    </row>
    <row r="62" spans="1:11" x14ac:dyDescent="0.25">
      <c r="A62" s="3" t="s">
        <v>13</v>
      </c>
      <c r="B62">
        <v>3416.35</v>
      </c>
      <c r="C62">
        <v>3303.74</v>
      </c>
      <c r="D62">
        <v>3732.24</v>
      </c>
      <c r="E62">
        <v>6496.56</v>
      </c>
      <c r="F62">
        <v>6272.31</v>
      </c>
      <c r="G62">
        <v>5858.52</v>
      </c>
      <c r="H62">
        <v>5519.06</v>
      </c>
      <c r="I62">
        <v>5770.46</v>
      </c>
      <c r="J62">
        <v>7146.62</v>
      </c>
      <c r="K62">
        <v>9220.1</v>
      </c>
    </row>
    <row r="63" spans="1:11" x14ac:dyDescent="0.25">
      <c r="A63" s="3" t="s">
        <v>14</v>
      </c>
      <c r="B63">
        <v>106.59</v>
      </c>
      <c r="C63">
        <v>257.54000000000002</v>
      </c>
      <c r="D63">
        <v>1405.11</v>
      </c>
      <c r="E63">
        <v>209.67</v>
      </c>
      <c r="F63">
        <v>140.24</v>
      </c>
      <c r="G63">
        <v>182.98</v>
      </c>
      <c r="H63">
        <v>426.43</v>
      </c>
      <c r="I63">
        <v>1019.59</v>
      </c>
      <c r="J63">
        <v>2698.37</v>
      </c>
      <c r="K63">
        <v>1254.49</v>
      </c>
    </row>
    <row r="64" spans="1:11" x14ac:dyDescent="0.25">
      <c r="A64" s="3" t="s">
        <v>15</v>
      </c>
      <c r="B64">
        <v>2712.13</v>
      </c>
      <c r="C64">
        <v>2651.99</v>
      </c>
      <c r="D64">
        <v>2140.6999999999998</v>
      </c>
      <c r="E64">
        <v>2568.58</v>
      </c>
      <c r="F64">
        <v>2018.85</v>
      </c>
      <c r="G64">
        <v>4736.8</v>
      </c>
      <c r="H64">
        <v>3247.53</v>
      </c>
      <c r="I64">
        <v>4261.71</v>
      </c>
      <c r="J64">
        <v>4587.92</v>
      </c>
      <c r="K64">
        <v>4724.75</v>
      </c>
    </row>
    <row r="65" spans="1:11" x14ac:dyDescent="0.25">
      <c r="A65" s="3" t="s">
        <v>37</v>
      </c>
      <c r="B65">
        <v>4323.96</v>
      </c>
      <c r="C65">
        <v>6191.92</v>
      </c>
      <c r="D65">
        <v>6485.43</v>
      </c>
      <c r="E65">
        <v>6974.03</v>
      </c>
      <c r="F65">
        <v>7706.57</v>
      </c>
      <c r="G65">
        <v>9577.0400000000009</v>
      </c>
      <c r="H65">
        <v>13765.41</v>
      </c>
      <c r="I65">
        <v>14727.57</v>
      </c>
      <c r="J65">
        <v>15467.86</v>
      </c>
      <c r="K65">
        <v>15155.91</v>
      </c>
    </row>
    <row r="66" spans="1:11" s="1" customFormat="1" x14ac:dyDescent="0.25">
      <c r="A66" s="1" t="s">
        <v>12</v>
      </c>
      <c r="B66">
        <v>10559.03</v>
      </c>
      <c r="C66">
        <v>12405.19</v>
      </c>
      <c r="D66">
        <v>13763.48</v>
      </c>
      <c r="E66">
        <v>16248.84</v>
      </c>
      <c r="F66">
        <v>16137.97</v>
      </c>
      <c r="G66">
        <v>20355.34</v>
      </c>
      <c r="H66">
        <v>22958.43</v>
      </c>
      <c r="I66">
        <v>25779.33</v>
      </c>
      <c r="J66">
        <v>29900.77</v>
      </c>
      <c r="K66">
        <v>30355.25</v>
      </c>
    </row>
    <row r="67" spans="1:11" s="3" customFormat="1" x14ac:dyDescent="0.25">
      <c r="A67" s="3" t="s">
        <v>42</v>
      </c>
      <c r="B67">
        <v>1186.8399999999999</v>
      </c>
      <c r="C67">
        <v>1446.6</v>
      </c>
      <c r="D67">
        <v>1730.63</v>
      </c>
      <c r="E67">
        <v>1907.33</v>
      </c>
      <c r="F67">
        <v>1795.22</v>
      </c>
      <c r="G67">
        <v>2602.17</v>
      </c>
      <c r="H67">
        <v>3871.44</v>
      </c>
      <c r="I67">
        <v>4636.9399999999996</v>
      </c>
      <c r="J67">
        <v>4889.05</v>
      </c>
      <c r="K67">
        <v>4313.6499999999996</v>
      </c>
    </row>
    <row r="68" spans="1:11" x14ac:dyDescent="0.25">
      <c r="A68" s="3" t="s">
        <v>29</v>
      </c>
      <c r="B68">
        <v>1998.24</v>
      </c>
      <c r="C68">
        <v>2626.94</v>
      </c>
      <c r="D68">
        <v>2658.31</v>
      </c>
      <c r="E68">
        <v>3149.86</v>
      </c>
      <c r="F68">
        <v>3389.81</v>
      </c>
      <c r="G68">
        <v>3798.6</v>
      </c>
      <c r="H68">
        <v>6152.98</v>
      </c>
      <c r="I68">
        <v>6210.64</v>
      </c>
      <c r="J68">
        <v>5923.41</v>
      </c>
      <c r="K68">
        <v>6719.27</v>
      </c>
    </row>
    <row r="69" spans="1:11" x14ac:dyDescent="0.25">
      <c r="A69" s="2" t="s">
        <v>51</v>
      </c>
      <c r="B69">
        <v>424.2</v>
      </c>
      <c r="C69">
        <v>801.21</v>
      </c>
      <c r="D69">
        <v>404.65</v>
      </c>
      <c r="E69">
        <v>444.88</v>
      </c>
      <c r="F69">
        <v>782.83</v>
      </c>
      <c r="G69">
        <v>610.75</v>
      </c>
      <c r="H69">
        <v>864.33</v>
      </c>
      <c r="I69">
        <v>843.82</v>
      </c>
      <c r="J69">
        <v>1084.01</v>
      </c>
      <c r="K69">
        <v>781.98</v>
      </c>
    </row>
    <row r="70" spans="1:11" x14ac:dyDescent="0.25">
      <c r="A70" s="2" t="s">
        <v>38</v>
      </c>
      <c r="B70">
        <v>959197790</v>
      </c>
      <c r="C70">
        <v>959197790</v>
      </c>
      <c r="D70">
        <v>959197790</v>
      </c>
      <c r="E70">
        <v>959197790</v>
      </c>
      <c r="F70">
        <v>959197790</v>
      </c>
      <c r="G70">
        <v>959197790</v>
      </c>
      <c r="H70">
        <v>959197790</v>
      </c>
      <c r="I70">
        <v>959197790</v>
      </c>
      <c r="J70">
        <v>959197790</v>
      </c>
      <c r="K70">
        <v>959197790</v>
      </c>
    </row>
    <row r="71" spans="1:11" x14ac:dyDescent="0.25">
      <c r="A71" s="2" t="s">
        <v>39</v>
      </c>
    </row>
    <row r="72" spans="1:11" x14ac:dyDescent="0.25">
      <c r="A72" s="2" t="s">
        <v>52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25">
      <c r="A74" s="3"/>
    </row>
    <row r="75" spans="1:11" x14ac:dyDescent="0.25">
      <c r="A75" s="3"/>
    </row>
    <row r="76" spans="1:11" x14ac:dyDescent="0.25">
      <c r="A76" s="3"/>
    </row>
    <row r="77" spans="1:11" x14ac:dyDescent="0.25">
      <c r="A77" s="3"/>
    </row>
    <row r="78" spans="1:11" x14ac:dyDescent="0.25">
      <c r="A78" s="3"/>
    </row>
    <row r="79" spans="1:11" x14ac:dyDescent="0.25">
      <c r="A79" s="3"/>
    </row>
    <row r="80" spans="1:11" x14ac:dyDescent="0.25">
      <c r="A80" s="1" t="s">
        <v>26</v>
      </c>
    </row>
    <row r="81" spans="1:11" s="6" customFormat="1" x14ac:dyDescent="0.25">
      <c r="A81" s="5" t="s">
        <v>23</v>
      </c>
      <c r="B81" s="4">
        <v>42460</v>
      </c>
      <c r="C81" s="4">
        <v>42825</v>
      </c>
      <c r="D81" s="4">
        <v>43190</v>
      </c>
      <c r="E81" s="4">
        <v>43555</v>
      </c>
      <c r="F81" s="4">
        <v>43921</v>
      </c>
      <c r="G81" s="4">
        <v>44286</v>
      </c>
      <c r="H81" s="4">
        <v>44651</v>
      </c>
      <c r="I81" s="4">
        <v>45016</v>
      </c>
      <c r="J81" s="4">
        <v>45382</v>
      </c>
      <c r="K81" s="4">
        <v>45747</v>
      </c>
    </row>
    <row r="82" spans="1:11" s="1" customFormat="1" x14ac:dyDescent="0.25">
      <c r="A82" s="3" t="s">
        <v>17</v>
      </c>
      <c r="B82">
        <v>2242.9499999999998</v>
      </c>
      <c r="C82">
        <v>1527.33</v>
      </c>
      <c r="D82">
        <v>2113.44</v>
      </c>
      <c r="E82">
        <v>2469.54</v>
      </c>
      <c r="F82">
        <v>3038.15</v>
      </c>
      <c r="G82">
        <v>3683.35</v>
      </c>
      <c r="H82">
        <v>986.49</v>
      </c>
      <c r="I82">
        <v>4193.43</v>
      </c>
      <c r="J82">
        <v>6103.6</v>
      </c>
      <c r="K82">
        <v>4423.96</v>
      </c>
    </row>
    <row r="83" spans="1:11" s="3" customFormat="1" x14ac:dyDescent="0.25">
      <c r="A83" s="3" t="s">
        <v>18</v>
      </c>
      <c r="B83">
        <v>-866.21</v>
      </c>
      <c r="C83">
        <v>-681.11</v>
      </c>
      <c r="D83">
        <v>-1556.14</v>
      </c>
      <c r="E83">
        <v>-917.79</v>
      </c>
      <c r="F83">
        <v>-517.91</v>
      </c>
      <c r="G83">
        <v>-540.54</v>
      </c>
      <c r="H83">
        <v>-316.75</v>
      </c>
      <c r="I83">
        <v>-1282.3399999999999</v>
      </c>
      <c r="J83">
        <v>-2548.48</v>
      </c>
      <c r="K83">
        <v>-940.91</v>
      </c>
    </row>
    <row r="84" spans="1:11" s="3" customFormat="1" x14ac:dyDescent="0.25">
      <c r="A84" s="3" t="s">
        <v>19</v>
      </c>
      <c r="B84">
        <v>-848.98</v>
      </c>
      <c r="C84">
        <v>-756.43</v>
      </c>
      <c r="D84">
        <v>-1379.14</v>
      </c>
      <c r="E84">
        <v>-1117.46</v>
      </c>
      <c r="F84">
        <v>-2871.46</v>
      </c>
      <c r="G84">
        <v>-650.4</v>
      </c>
      <c r="H84">
        <v>-1807.61</v>
      </c>
      <c r="I84">
        <v>-2140.0500000000002</v>
      </c>
      <c r="J84">
        <v>-2982.5</v>
      </c>
      <c r="K84">
        <v>-3752.58</v>
      </c>
    </row>
    <row r="85" spans="1:11" s="1" customFormat="1" x14ac:dyDescent="0.25">
      <c r="A85" s="3" t="s">
        <v>20</v>
      </c>
      <c r="B85">
        <v>527.76</v>
      </c>
      <c r="C85">
        <v>89.79</v>
      </c>
      <c r="D85">
        <v>-821.84</v>
      </c>
      <c r="E85">
        <v>434.29</v>
      </c>
      <c r="F85">
        <v>-351.22</v>
      </c>
      <c r="G85">
        <v>2492.41</v>
      </c>
      <c r="H85">
        <v>-1137.8699999999999</v>
      </c>
      <c r="I85">
        <v>771.04</v>
      </c>
      <c r="J85">
        <v>572.62</v>
      </c>
      <c r="K85">
        <v>-269.52999999999997</v>
      </c>
    </row>
    <row r="86" spans="1:11" x14ac:dyDescent="0.25">
      <c r="A86" s="3"/>
    </row>
    <row r="87" spans="1:11" x14ac:dyDescent="0.25">
      <c r="A87" s="3"/>
    </row>
    <row r="88" spans="1:11" x14ac:dyDescent="0.25">
      <c r="A88" s="3"/>
    </row>
    <row r="89" spans="1:11" x14ac:dyDescent="0.25">
      <c r="A89" s="3"/>
    </row>
    <row r="90" spans="1:11" s="1" customFormat="1" x14ac:dyDescent="0.25">
      <c r="A90" s="1" t="s">
        <v>41</v>
      </c>
      <c r="B90">
        <v>868.4</v>
      </c>
      <c r="C90">
        <v>1073.5</v>
      </c>
      <c r="D90">
        <v>1120.4000000000001</v>
      </c>
      <c r="E90">
        <v>1492.7</v>
      </c>
      <c r="F90">
        <v>1666.5</v>
      </c>
      <c r="G90">
        <v>2537.4</v>
      </c>
      <c r="H90">
        <v>3079.95</v>
      </c>
      <c r="I90">
        <v>2761.65</v>
      </c>
      <c r="J90">
        <v>2846.75</v>
      </c>
      <c r="K90">
        <v>2340.65</v>
      </c>
    </row>
    <row r="92" spans="1:11" s="1" customFormat="1" x14ac:dyDescent="0.25">
      <c r="A92" s="1" t="s">
        <v>40</v>
      </c>
    </row>
    <row r="93" spans="1:11" x14ac:dyDescent="0.25">
      <c r="A93" s="2" t="s">
        <v>53</v>
      </c>
      <c r="B93" s="7">
        <v>95.92</v>
      </c>
      <c r="C93" s="7">
        <v>95.92</v>
      </c>
      <c r="D93" s="7">
        <v>95.92</v>
      </c>
      <c r="E93" s="7">
        <v>95.92</v>
      </c>
      <c r="F93" s="7">
        <v>95.92</v>
      </c>
      <c r="G93" s="7">
        <v>95.92</v>
      </c>
      <c r="H93" s="7">
        <v>95.92</v>
      </c>
      <c r="I93" s="7">
        <v>95.92</v>
      </c>
      <c r="J93" s="7">
        <v>95.92</v>
      </c>
      <c r="K93" s="7">
        <v>95.92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35"/>
  <sheetViews>
    <sheetView showGridLines="0" topLeftCell="A11" workbookViewId="0">
      <selection activeCell="J35" sqref="J35"/>
    </sheetView>
  </sheetViews>
  <sheetFormatPr defaultRowHeight="15" x14ac:dyDescent="0.25"/>
  <cols>
    <col min="1" max="1" width="1.85546875" customWidth="1"/>
  </cols>
  <sheetData>
    <row r="2" spans="2:17" x14ac:dyDescent="0.25">
      <c r="B2" s="164" t="s">
        <v>299</v>
      </c>
    </row>
    <row r="3" spans="2:17" ht="15.75" x14ac:dyDescent="0.25">
      <c r="B3" s="165" t="s">
        <v>300</v>
      </c>
      <c r="C3" s="166"/>
      <c r="D3" s="166"/>
      <c r="E3" s="166"/>
    </row>
    <row r="5" spans="2:17" x14ac:dyDescent="0.25">
      <c r="B5" s="167"/>
      <c r="C5" s="167"/>
      <c r="D5" s="168" t="s">
        <v>301</v>
      </c>
      <c r="E5" s="168"/>
      <c r="F5" s="168"/>
      <c r="G5" s="168"/>
      <c r="H5" s="168"/>
      <c r="I5" s="168"/>
      <c r="J5" s="167"/>
      <c r="K5" s="168" t="s">
        <v>302</v>
      </c>
      <c r="L5" s="168"/>
      <c r="M5" s="168"/>
      <c r="N5" s="167"/>
      <c r="O5" s="168" t="s">
        <v>303</v>
      </c>
      <c r="P5" s="168"/>
      <c r="Q5" s="168"/>
    </row>
    <row r="6" spans="2:17" ht="45" x14ac:dyDescent="0.25">
      <c r="B6" s="169" t="s">
        <v>304</v>
      </c>
      <c r="C6" s="169" t="s">
        <v>305</v>
      </c>
      <c r="D6" s="170" t="s">
        <v>306</v>
      </c>
      <c r="E6" s="170" t="s">
        <v>307</v>
      </c>
      <c r="F6" s="170" t="s">
        <v>308</v>
      </c>
      <c r="G6" s="169" t="s">
        <v>284</v>
      </c>
      <c r="H6" s="170" t="s">
        <v>309</v>
      </c>
      <c r="I6" s="167"/>
      <c r="J6" s="167"/>
      <c r="K6" s="169" t="s">
        <v>310</v>
      </c>
      <c r="L6" s="169" t="s">
        <v>66</v>
      </c>
      <c r="M6" s="169" t="s">
        <v>311</v>
      </c>
      <c r="N6" s="167"/>
      <c r="O6" s="169" t="s">
        <v>312</v>
      </c>
      <c r="P6" s="169" t="s">
        <v>313</v>
      </c>
      <c r="Q6" s="169" t="s">
        <v>314</v>
      </c>
    </row>
    <row r="9" spans="2:17" x14ac:dyDescent="0.25">
      <c r="B9" s="171" t="str">
        <f>[3]Data!C8</f>
        <v>Cipla</v>
      </c>
      <c r="C9" s="171" t="s">
        <v>315</v>
      </c>
      <c r="D9" s="172">
        <f>[3]Data!D8</f>
        <v>1211.0999999999999</v>
      </c>
      <c r="E9" s="173">
        <f>[3]Data!G8</f>
        <v>80.78</v>
      </c>
      <c r="F9" s="172">
        <f>E9*D9</f>
        <v>97832.657999999996</v>
      </c>
      <c r="G9" s="172">
        <f>[3]Data!I8</f>
        <v>-332.47</v>
      </c>
      <c r="H9" s="172">
        <f>+F9+G9</f>
        <v>97500.187999999995</v>
      </c>
      <c r="I9" s="172"/>
      <c r="J9" s="172"/>
      <c r="K9" s="172">
        <f>[3]Data!K8</f>
        <v>28351.08</v>
      </c>
      <c r="L9" s="172">
        <f>[3]Data!M8</f>
        <v>646688.1348</v>
      </c>
      <c r="M9" s="172">
        <f>[3]Data!N8</f>
        <v>4533.37</v>
      </c>
      <c r="N9" s="174"/>
      <c r="O9" s="175">
        <f>$H9/K9</f>
        <v>3.439029059915883</v>
      </c>
      <c r="P9" s="175">
        <f>$H9/L9</f>
        <v>0.1507684813641334</v>
      </c>
      <c r="Q9" s="175">
        <f>F9/M9</f>
        <v>21.580558833715315</v>
      </c>
    </row>
    <row r="10" spans="2:17" x14ac:dyDescent="0.25">
      <c r="B10" s="176" t="s">
        <v>289</v>
      </c>
      <c r="C10" s="176" t="s">
        <v>316</v>
      </c>
      <c r="D10" s="177">
        <f>[3]Data!D3</f>
        <v>1652.2</v>
      </c>
      <c r="E10" s="178">
        <f>[3]Data!G3</f>
        <v>239.93</v>
      </c>
      <c r="F10" s="177">
        <f>E10*D10</f>
        <v>396412.34600000002</v>
      </c>
      <c r="G10" s="177">
        <f>[3]Data!I3</f>
        <v>-6116.52</v>
      </c>
      <c r="H10" s="177">
        <f>+F10+G10</f>
        <v>390295.826</v>
      </c>
      <c r="I10" s="177"/>
      <c r="J10" s="177"/>
      <c r="K10" s="177">
        <f>[3]Data!K3</f>
        <v>56809.09</v>
      </c>
      <c r="L10" s="177">
        <f>[3]Data!M3</f>
        <v>1749151.8810999999</v>
      </c>
      <c r="M10" s="177">
        <f>[3]Data!N3</f>
        <v>10952.92</v>
      </c>
      <c r="N10" s="179"/>
      <c r="O10" s="180">
        <f t="shared" ref="O10:P18" si="0">$H10/K10</f>
        <v>6.8703058964683299</v>
      </c>
      <c r="P10" s="180">
        <f t="shared" si="0"/>
        <v>0.22313432596519422</v>
      </c>
      <c r="Q10" s="180">
        <f t="shared" ref="Q10:Q18" si="1">F10/M10</f>
        <v>36.192389426746473</v>
      </c>
    </row>
    <row r="11" spans="2:17" x14ac:dyDescent="0.25">
      <c r="B11" s="176" t="s">
        <v>290</v>
      </c>
      <c r="C11" s="176" t="s">
        <v>317</v>
      </c>
      <c r="D11" s="177">
        <f>[3]Data!D4</f>
        <v>6070</v>
      </c>
      <c r="E11" s="178">
        <f>[3]Data!G4</f>
        <v>26.55</v>
      </c>
      <c r="F11" s="177">
        <f t="shared" ref="F11:F18" si="2">E11*D11</f>
        <v>161158.5</v>
      </c>
      <c r="G11" s="177">
        <f>[3]Data!I4</f>
        <v>-3625</v>
      </c>
      <c r="H11" s="177">
        <f t="shared" ref="H11:H18" si="3">+F11+G11</f>
        <v>157533.5</v>
      </c>
      <c r="I11" s="177"/>
      <c r="J11" s="177"/>
      <c r="K11" s="177">
        <f>[3]Data!K4</f>
        <v>10314</v>
      </c>
      <c r="L11" s="177">
        <f>[3]Data!M4</f>
        <v>339330.6</v>
      </c>
      <c r="M11" s="177">
        <f>[3]Data!N4</f>
        <v>2479</v>
      </c>
      <c r="N11" s="179"/>
      <c r="O11" s="180">
        <f t="shared" si="0"/>
        <v>15.273754120612759</v>
      </c>
      <c r="P11" s="180">
        <f t="shared" si="0"/>
        <v>0.46424784561133009</v>
      </c>
      <c r="Q11" s="180">
        <f t="shared" si="1"/>
        <v>65.009479628882616</v>
      </c>
    </row>
    <row r="12" spans="2:17" x14ac:dyDescent="0.25">
      <c r="B12" s="176" t="s">
        <v>291</v>
      </c>
      <c r="C12" s="176" t="s">
        <v>318</v>
      </c>
      <c r="D12" s="177">
        <f>[3]Data!D5</f>
        <v>4181</v>
      </c>
      <c r="E12" s="178">
        <f>[3]Data!G5</f>
        <v>33.840000000000003</v>
      </c>
      <c r="F12" s="177">
        <f t="shared" si="2"/>
        <v>141485.04</v>
      </c>
      <c r="G12" s="177">
        <f>[3]Data!I5</f>
        <v>2242.54</v>
      </c>
      <c r="H12" s="177">
        <f t="shared" si="3"/>
        <v>143727.58000000002</v>
      </c>
      <c r="I12" s="177"/>
      <c r="J12" s="177"/>
      <c r="K12" s="177">
        <f>[3]Data!K5</f>
        <v>12742</v>
      </c>
      <c r="L12" s="177">
        <f>[3]Data!M5</f>
        <v>416663.4</v>
      </c>
      <c r="M12" s="177">
        <f>[3]Data!N5</f>
        <v>2272</v>
      </c>
      <c r="N12" s="179"/>
      <c r="O12" s="180">
        <f t="shared" si="0"/>
        <v>11.279828912258674</v>
      </c>
      <c r="P12" s="180">
        <f t="shared" si="0"/>
        <v>0.34494889639934778</v>
      </c>
      <c r="Q12" s="180">
        <f t="shared" si="1"/>
        <v>62.273345070422536</v>
      </c>
    </row>
    <row r="13" spans="2:17" x14ac:dyDescent="0.25">
      <c r="B13" s="176" t="s">
        <v>292</v>
      </c>
      <c r="C13" s="176" t="s">
        <v>319</v>
      </c>
      <c r="D13" s="177">
        <f>[3]Data!D6</f>
        <v>2315.1</v>
      </c>
      <c r="E13" s="178">
        <f>[3]Data!G6</f>
        <v>45.72</v>
      </c>
      <c r="F13" s="177">
        <f t="shared" si="2"/>
        <v>105846.37199999999</v>
      </c>
      <c r="G13" s="177">
        <f>[3]Data!I6</f>
        <v>3074.67</v>
      </c>
      <c r="H13" s="177">
        <f t="shared" si="3"/>
        <v>108921.04199999999</v>
      </c>
      <c r="I13" s="177"/>
      <c r="J13" s="177"/>
      <c r="K13" s="177">
        <f>[3]Data!K6</f>
        <v>26150.5</v>
      </c>
      <c r="L13" s="177">
        <f>[3]Data!M6</f>
        <v>765163.63</v>
      </c>
      <c r="M13" s="177">
        <f>[3]Data!N6</f>
        <v>4669.18</v>
      </c>
      <c r="N13" s="179"/>
      <c r="O13" s="180">
        <f t="shared" si="0"/>
        <v>4.1651609720655429</v>
      </c>
      <c r="P13" s="180">
        <f t="shared" si="0"/>
        <v>0.14234999904530224</v>
      </c>
      <c r="Q13" s="180">
        <f t="shared" si="1"/>
        <v>22.669156468587627</v>
      </c>
    </row>
    <row r="14" spans="2:17" x14ac:dyDescent="0.25">
      <c r="B14" s="176" t="s">
        <v>293</v>
      </c>
      <c r="C14" s="176" t="s">
        <v>320</v>
      </c>
      <c r="D14" s="177">
        <f>[3]Data!D7</f>
        <v>1235.9000000000001</v>
      </c>
      <c r="E14" s="178">
        <f>[3]Data!G7</f>
        <v>83.47</v>
      </c>
      <c r="F14" s="177">
        <f t="shared" si="2"/>
        <v>103160.573</v>
      </c>
      <c r="G14" s="177">
        <f>[3]Data!I7</f>
        <v>3393.8</v>
      </c>
      <c r="H14" s="177">
        <f t="shared" si="3"/>
        <v>106554.37300000001</v>
      </c>
      <c r="I14" s="177"/>
      <c r="J14" s="177"/>
      <c r="K14" s="177">
        <f>[3]Data!K7</f>
        <v>34682.199999999997</v>
      </c>
      <c r="L14" s="177">
        <f>[3]Data!M7</f>
        <v>807054.79399999988</v>
      </c>
      <c r="M14" s="177">
        <f>[3]Data!N7</f>
        <v>5523</v>
      </c>
      <c r="N14" s="179"/>
      <c r="O14" s="180">
        <f t="shared" si="0"/>
        <v>3.072307206578591</v>
      </c>
      <c r="P14" s="180">
        <f t="shared" si="0"/>
        <v>0.13202867239271987</v>
      </c>
      <c r="Q14" s="180">
        <f t="shared" si="1"/>
        <v>18.678358319753759</v>
      </c>
    </row>
    <row r="15" spans="2:17" x14ac:dyDescent="0.25">
      <c r="B15" s="176" t="s">
        <v>295</v>
      </c>
      <c r="C15" s="176" t="s">
        <v>321</v>
      </c>
      <c r="D15" s="177">
        <f>[3]Data!D9</f>
        <v>922.4</v>
      </c>
      <c r="E15" s="178">
        <f>[3]Data!G9</f>
        <v>100.62</v>
      </c>
      <c r="F15" s="177">
        <f t="shared" si="2"/>
        <v>92811.888000000006</v>
      </c>
      <c r="G15" s="177">
        <f>[3]Data!I9</f>
        <v>6679.3</v>
      </c>
      <c r="H15" s="177">
        <f t="shared" si="3"/>
        <v>99491.188000000009</v>
      </c>
      <c r="I15" s="177"/>
      <c r="J15" s="177"/>
      <c r="K15" s="177">
        <f>[3]Data!K9</f>
        <v>26089.3</v>
      </c>
      <c r="L15" s="177">
        <f>[3]Data!M9</f>
        <v>804594.01199999999</v>
      </c>
      <c r="M15" s="177">
        <f>[3]Data!N9</f>
        <v>5026.2</v>
      </c>
      <c r="N15" s="179"/>
      <c r="O15" s="180">
        <f t="shared" si="0"/>
        <v>3.8134862951478197</v>
      </c>
      <c r="P15" s="180">
        <f t="shared" si="0"/>
        <v>0.12365390062087613</v>
      </c>
      <c r="Q15" s="180">
        <f t="shared" si="1"/>
        <v>18.465617762922289</v>
      </c>
    </row>
    <row r="16" spans="2:17" x14ac:dyDescent="0.25">
      <c r="B16" s="176" t="s">
        <v>296</v>
      </c>
      <c r="C16" s="176" t="s">
        <v>322</v>
      </c>
      <c r="D16" s="177">
        <f>[3]Data!D10</f>
        <v>2077.4</v>
      </c>
      <c r="E16" s="178">
        <f>[3]Data!G10</f>
        <v>41.28</v>
      </c>
      <c r="F16" s="177">
        <f t="shared" si="2"/>
        <v>85755.072</v>
      </c>
      <c r="G16" s="177">
        <f>[3]Data!I10</f>
        <v>7814.15</v>
      </c>
      <c r="H16" s="177">
        <f t="shared" si="3"/>
        <v>93569.221999999994</v>
      </c>
      <c r="I16" s="177"/>
      <c r="J16" s="177"/>
      <c r="K16" s="177">
        <f>[3]Data!K10</f>
        <v>13914.08</v>
      </c>
      <c r="L16" s="177">
        <f>[3]Data!M10</f>
        <v>337138.15840000001</v>
      </c>
      <c r="M16" s="177">
        <f>[3]Data!N10</f>
        <v>1803.33</v>
      </c>
      <c r="N16" s="179"/>
      <c r="O16" s="180">
        <f t="shared" si="0"/>
        <v>6.7247868346308195</v>
      </c>
      <c r="P16" s="180">
        <f t="shared" si="0"/>
        <v>0.27753969602273293</v>
      </c>
      <c r="Q16" s="180">
        <f t="shared" si="1"/>
        <v>47.553732261981999</v>
      </c>
    </row>
    <row r="17" spans="2:17" x14ac:dyDescent="0.25">
      <c r="B17" s="176" t="s">
        <v>297</v>
      </c>
      <c r="C17" s="176" t="s">
        <v>323</v>
      </c>
      <c r="D17" s="177">
        <f>[3]Data!D11</f>
        <v>1339.8</v>
      </c>
      <c r="E17" s="178">
        <f>[3]Data!G11</f>
        <v>58.08</v>
      </c>
      <c r="F17" s="177">
        <f t="shared" si="2"/>
        <v>77815.583999999988</v>
      </c>
      <c r="G17" s="177">
        <f>[3]Data!I11</f>
        <v>-440.98999999999978</v>
      </c>
      <c r="H17" s="177">
        <f t="shared" si="3"/>
        <v>77374.593999999983</v>
      </c>
      <c r="I17" s="177"/>
      <c r="J17" s="177"/>
      <c r="K17" s="177">
        <f>[3]Data!K11</f>
        <v>33181.86</v>
      </c>
      <c r="L17" s="177">
        <f>[3]Data!M11</f>
        <v>681555.4044</v>
      </c>
      <c r="M17" s="177">
        <f>[3]Data!N11</f>
        <v>3484.96</v>
      </c>
      <c r="N17" s="179"/>
      <c r="O17" s="180">
        <f t="shared" si="0"/>
        <v>2.3318341407021781</v>
      </c>
      <c r="P17" s="180">
        <f t="shared" si="0"/>
        <v>0.11352649175765231</v>
      </c>
      <c r="Q17" s="180">
        <f t="shared" si="1"/>
        <v>22.328974794545701</v>
      </c>
    </row>
    <row r="18" spans="2:17" x14ac:dyDescent="0.25">
      <c r="B18" s="176" t="s">
        <v>298</v>
      </c>
      <c r="C18" s="176" t="s">
        <v>324</v>
      </c>
      <c r="D18" s="177">
        <f>[3]Data!D12</f>
        <v>5364.5</v>
      </c>
      <c r="E18" s="178">
        <f>[3]Data!G12</f>
        <v>11.96</v>
      </c>
      <c r="F18" s="177">
        <f t="shared" si="2"/>
        <v>64159.420000000006</v>
      </c>
      <c r="G18" s="177">
        <f>[3]Data!I12</f>
        <v>792.52</v>
      </c>
      <c r="H18" s="177">
        <f t="shared" si="3"/>
        <v>64951.94</v>
      </c>
      <c r="I18" s="177"/>
      <c r="J18" s="177"/>
      <c r="K18" s="177">
        <f>[3]Data!K12</f>
        <v>14252.7</v>
      </c>
      <c r="L18" s="177">
        <f>[3]Data!M12</f>
        <v>287904.53999999998</v>
      </c>
      <c r="M18" s="177">
        <f>[3]Data!N12</f>
        <v>2422.44</v>
      </c>
      <c r="N18" s="179"/>
      <c r="O18" s="180">
        <f t="shared" si="0"/>
        <v>4.5571674138935077</v>
      </c>
      <c r="P18" s="180">
        <f t="shared" si="0"/>
        <v>0.2256023472224509</v>
      </c>
      <c r="Q18" s="180">
        <f t="shared" si="1"/>
        <v>26.485452684070609</v>
      </c>
    </row>
    <row r="20" spans="2:17" x14ac:dyDescent="0.25">
      <c r="B20" s="171" t="s">
        <v>325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2">
        <f>MAX(O9:O18)</f>
        <v>15.273754120612759</v>
      </c>
      <c r="P20" s="182">
        <f t="shared" ref="P20:Q20" si="4">MAX(P9:P18)</f>
        <v>0.46424784561133009</v>
      </c>
      <c r="Q20" s="182">
        <f t="shared" si="4"/>
        <v>65.009479628882616</v>
      </c>
    </row>
    <row r="21" spans="2:17" x14ac:dyDescent="0.25">
      <c r="B21" s="171" t="s">
        <v>326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2">
        <f>QUARTILE(O9:O18,3)</f>
        <v>6.8339261310089521</v>
      </c>
      <c r="P21" s="182">
        <f t="shared" ref="P21:Q21" si="5">QUARTILE(P9:P18,3)</f>
        <v>0.2645553588226624</v>
      </c>
      <c r="Q21" s="182">
        <f t="shared" si="5"/>
        <v>44.713396553173119</v>
      </c>
    </row>
    <row r="22" spans="2:17" x14ac:dyDescent="0.25">
      <c r="B22" s="183" t="s">
        <v>240</v>
      </c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5">
        <f>AVERAGE(O9:O18)</f>
        <v>6.1527660852274106</v>
      </c>
      <c r="P22" s="185">
        <f t="shared" ref="P22:Q22" si="6">AVERAGE(P9:P18)</f>
        <v>0.21978006564017399</v>
      </c>
      <c r="Q22" s="185">
        <f t="shared" si="6"/>
        <v>34.123706525162895</v>
      </c>
    </row>
    <row r="23" spans="2:17" x14ac:dyDescent="0.25">
      <c r="B23" s="183" t="s">
        <v>148</v>
      </c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5">
        <f>MEDIAN(O9:O18)</f>
        <v>4.3611641929795253</v>
      </c>
      <c r="P23" s="185">
        <f t="shared" ref="P23:Q23" si="7">MEDIAN(P9:P18)</f>
        <v>0.18695140366466381</v>
      </c>
      <c r="Q23" s="185">
        <f t="shared" si="7"/>
        <v>24.577304576329119</v>
      </c>
    </row>
    <row r="24" spans="2:17" x14ac:dyDescent="0.25">
      <c r="B24" s="171" t="s">
        <v>327</v>
      </c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2">
        <f>QUARTILE(O9:O18,1)</f>
        <v>3.5326433687238672</v>
      </c>
      <c r="P24" s="182">
        <f t="shared" ref="P24:Q24" si="8">QUARTILE(P9:P18,1)</f>
        <v>0.13460900405586546</v>
      </c>
      <c r="Q24" s="182">
        <f t="shared" si="8"/>
        <v>21.767662823922912</v>
      </c>
    </row>
    <row r="25" spans="2:17" x14ac:dyDescent="0.25">
      <c r="B25" s="171" t="s">
        <v>328</v>
      </c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2">
        <f>MIN(O9:O18)</f>
        <v>2.3318341407021781</v>
      </c>
      <c r="P25" s="182">
        <f t="shared" ref="P25:Q25" si="9">MIN(P9:P18)</f>
        <v>0.11352649175765231</v>
      </c>
      <c r="Q25" s="182">
        <f t="shared" si="9"/>
        <v>18.465617762922289</v>
      </c>
    </row>
    <row r="27" spans="2:17" x14ac:dyDescent="0.25">
      <c r="B27" s="169" t="s">
        <v>329</v>
      </c>
      <c r="C27" s="167"/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9" t="s">
        <v>312</v>
      </c>
      <c r="P27" s="169" t="s">
        <v>313</v>
      </c>
      <c r="Q27" s="169" t="s">
        <v>314</v>
      </c>
    </row>
    <row r="28" spans="2:17" x14ac:dyDescent="0.25">
      <c r="B28" s="69" t="s">
        <v>330</v>
      </c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186">
        <f>O23*K9</f>
        <v>123643.71492829797</v>
      </c>
      <c r="P28" s="186">
        <f>P23*L9</f>
        <v>120899.25453414333</v>
      </c>
      <c r="Q28" s="186">
        <f>+Q29+Q30</f>
        <v>111085.54524719313</v>
      </c>
    </row>
    <row r="29" spans="2:17" x14ac:dyDescent="0.25">
      <c r="B29" s="69" t="s">
        <v>284</v>
      </c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186">
        <f>$G$9</f>
        <v>-332.47</v>
      </c>
      <c r="P29" s="186">
        <f t="shared" ref="P29:Q29" si="10">$G$9</f>
        <v>-332.47</v>
      </c>
      <c r="Q29" s="186">
        <f t="shared" si="10"/>
        <v>-332.47</v>
      </c>
    </row>
    <row r="30" spans="2:17" x14ac:dyDescent="0.25">
      <c r="B30" s="69" t="s">
        <v>331</v>
      </c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186">
        <f>O28-O29</f>
        <v>123976.18492829797</v>
      </c>
      <c r="P30" s="186">
        <f t="shared" ref="P30" si="11">P28-P29</f>
        <v>121231.72453414333</v>
      </c>
      <c r="Q30" s="186">
        <f>Q23*M9</f>
        <v>111418.01524719314</v>
      </c>
    </row>
    <row r="31" spans="2:17" x14ac:dyDescent="0.25">
      <c r="B31" s="69" t="s">
        <v>332</v>
      </c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81">
        <f>$E$9</f>
        <v>80.78</v>
      </c>
      <c r="P31" s="81">
        <f t="shared" ref="P31:Q31" si="12">$E$9</f>
        <v>80.78</v>
      </c>
      <c r="Q31" s="81">
        <f t="shared" si="12"/>
        <v>80.78</v>
      </c>
    </row>
    <row r="32" spans="2:17" x14ac:dyDescent="0.25">
      <c r="O32" s="123"/>
      <c r="P32" s="123"/>
      <c r="Q32" s="123"/>
    </row>
    <row r="33" spans="2:17" x14ac:dyDescent="0.25">
      <c r="B33" s="187" t="s">
        <v>333</v>
      </c>
      <c r="C33" s="187"/>
      <c r="D33" s="187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8">
        <f>O30/O31</f>
        <v>1534.7386101547161</v>
      </c>
      <c r="P33" s="188">
        <f>P30/P31</f>
        <v>1500.76410663708</v>
      </c>
      <c r="Q33" s="188">
        <f>Q30/Q31</f>
        <v>1379.2772375240547</v>
      </c>
    </row>
    <row r="35" spans="2:17" x14ac:dyDescent="0.25">
      <c r="O35" t="str">
        <f>IF(O33&gt;$D$9,"Undervalued","Overvalued")</f>
        <v>Undervalued</v>
      </c>
      <c r="P35" t="str">
        <f t="shared" ref="P35:Q35" si="13">IF(P33&gt;$D$9,"Undervalued","Overvalued")</f>
        <v>Undervalued</v>
      </c>
      <c r="Q35" t="str">
        <f t="shared" si="13"/>
        <v>Undervalued</v>
      </c>
    </row>
  </sheetData>
  <mergeCells count="3">
    <mergeCell ref="D5:I5"/>
    <mergeCell ref="K5:M5"/>
    <mergeCell ref="O5:Q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2"/>
  <sheetViews>
    <sheetView showGridLines="0" workbookViewId="0">
      <selection activeCell="E25" sqref="E25"/>
    </sheetView>
  </sheetViews>
  <sheetFormatPr defaultRowHeight="15" x14ac:dyDescent="0.25"/>
  <cols>
    <col min="1" max="1" width="1.85546875" customWidth="1"/>
    <col min="3" max="3" width="17.85546875" bestFit="1" customWidth="1"/>
    <col min="6" max="6" width="20.140625" bestFit="1" customWidth="1"/>
    <col min="7" max="7" width="16.5703125" bestFit="1" customWidth="1"/>
    <col min="8" max="8" width="14.42578125" bestFit="1" customWidth="1"/>
    <col min="10" max="10" width="9.5703125" bestFit="1" customWidth="1"/>
    <col min="13" max="13" width="10.5703125" bestFit="1" customWidth="1"/>
  </cols>
  <sheetData>
    <row r="2" spans="2:14" x14ac:dyDescent="0.25">
      <c r="B2" t="s">
        <v>278</v>
      </c>
      <c r="C2" t="s">
        <v>279</v>
      </c>
      <c r="D2" s="123" t="s">
        <v>280</v>
      </c>
      <c r="E2" s="123" t="s">
        <v>281</v>
      </c>
      <c r="F2" s="123" t="s">
        <v>43</v>
      </c>
      <c r="G2" s="123" t="s">
        <v>282</v>
      </c>
      <c r="H2" s="123" t="s">
        <v>283</v>
      </c>
      <c r="I2" s="123" t="s">
        <v>284</v>
      </c>
      <c r="J2" s="163" t="s">
        <v>285</v>
      </c>
      <c r="K2" s="123" t="s">
        <v>286</v>
      </c>
      <c r="L2" s="123" t="s">
        <v>287</v>
      </c>
      <c r="M2" s="123" t="s">
        <v>66</v>
      </c>
      <c r="N2" t="s">
        <v>288</v>
      </c>
    </row>
    <row r="3" spans="2:14" x14ac:dyDescent="0.25">
      <c r="B3">
        <v>1</v>
      </c>
      <c r="C3" t="s">
        <v>289</v>
      </c>
      <c r="D3" s="123">
        <v>1652.2</v>
      </c>
      <c r="E3" s="123">
        <v>5215.1000000000004</v>
      </c>
      <c r="F3" s="123">
        <f>D3*G3</f>
        <v>396412.34600000002</v>
      </c>
      <c r="G3" s="123">
        <v>239.93</v>
      </c>
      <c r="H3" s="123">
        <v>11331.62</v>
      </c>
      <c r="I3" s="123">
        <f>E3-H3</f>
        <v>-6116.52</v>
      </c>
      <c r="J3" s="123">
        <f>F3+E3-H3</f>
        <v>390295.826</v>
      </c>
      <c r="K3" s="123">
        <v>56809.09</v>
      </c>
      <c r="L3">
        <v>30.79</v>
      </c>
      <c r="M3" s="123">
        <f t="shared" ref="M3:M12" si="0">K3*L3</f>
        <v>1749151.8810999999</v>
      </c>
      <c r="N3" s="123">
        <v>10952.92</v>
      </c>
    </row>
    <row r="4" spans="2:14" x14ac:dyDescent="0.25">
      <c r="B4">
        <v>2</v>
      </c>
      <c r="C4" t="s">
        <v>290</v>
      </c>
      <c r="D4" s="123">
        <v>6070</v>
      </c>
      <c r="E4" s="123">
        <v>90</v>
      </c>
      <c r="F4" s="123">
        <f t="shared" ref="F4:F12" si="1">D4*G4</f>
        <v>161158.5</v>
      </c>
      <c r="G4" s="123">
        <v>26.55</v>
      </c>
      <c r="H4" s="123">
        <v>3715</v>
      </c>
      <c r="I4" s="123">
        <f t="shared" ref="I4:I12" si="2">E4-H4</f>
        <v>-3625</v>
      </c>
      <c r="J4" s="123">
        <f t="shared" ref="J4:J12" si="3">F4+E4-H4</f>
        <v>157533.5</v>
      </c>
      <c r="K4" s="123">
        <v>10314</v>
      </c>
      <c r="L4">
        <v>32.9</v>
      </c>
      <c r="M4" s="123">
        <f t="shared" si="0"/>
        <v>339330.6</v>
      </c>
      <c r="N4" s="123">
        <v>2479</v>
      </c>
    </row>
    <row r="5" spans="2:14" x14ac:dyDescent="0.25">
      <c r="B5">
        <v>3</v>
      </c>
      <c r="C5" t="s">
        <v>291</v>
      </c>
      <c r="D5" s="123">
        <v>4181</v>
      </c>
      <c r="E5" s="123">
        <v>2822</v>
      </c>
      <c r="F5" s="123">
        <f t="shared" si="1"/>
        <v>141485.04</v>
      </c>
      <c r="G5" s="123">
        <v>33.840000000000003</v>
      </c>
      <c r="H5" s="123">
        <v>579.46</v>
      </c>
      <c r="I5" s="123">
        <f t="shared" si="2"/>
        <v>2242.54</v>
      </c>
      <c r="J5" s="123">
        <f t="shared" si="3"/>
        <v>143727.58000000002</v>
      </c>
      <c r="K5" s="123">
        <v>12742</v>
      </c>
      <c r="L5">
        <v>32.700000000000003</v>
      </c>
      <c r="M5" s="123">
        <f t="shared" si="0"/>
        <v>416663.4</v>
      </c>
      <c r="N5" s="123">
        <v>2272</v>
      </c>
    </row>
    <row r="6" spans="2:14" x14ac:dyDescent="0.25">
      <c r="B6">
        <v>4</v>
      </c>
      <c r="C6" t="s">
        <v>292</v>
      </c>
      <c r="D6" s="123">
        <v>2315.1</v>
      </c>
      <c r="E6" s="123">
        <v>6217</v>
      </c>
      <c r="F6" s="123">
        <f t="shared" si="1"/>
        <v>105846.37199999999</v>
      </c>
      <c r="G6" s="123">
        <v>45.72</v>
      </c>
      <c r="H6" s="123">
        <v>3142.33</v>
      </c>
      <c r="I6" s="123">
        <f t="shared" si="2"/>
        <v>3074.67</v>
      </c>
      <c r="J6" s="123">
        <f t="shared" si="3"/>
        <v>108921.04199999999</v>
      </c>
      <c r="K6" s="123">
        <v>26150.5</v>
      </c>
      <c r="L6">
        <v>29.26</v>
      </c>
      <c r="M6" s="123">
        <f t="shared" si="0"/>
        <v>765163.63</v>
      </c>
      <c r="N6" s="123">
        <v>4669.18</v>
      </c>
    </row>
    <row r="7" spans="2:14" x14ac:dyDescent="0.25">
      <c r="B7">
        <v>5</v>
      </c>
      <c r="C7" t="s">
        <v>293</v>
      </c>
      <c r="D7" s="123">
        <v>1235.9000000000001</v>
      </c>
      <c r="E7" s="123">
        <v>5854</v>
      </c>
      <c r="F7" s="123">
        <f t="shared" si="1"/>
        <v>103160.573</v>
      </c>
      <c r="G7" s="123">
        <v>83.47</v>
      </c>
      <c r="H7" s="123">
        <v>2460.1999999999998</v>
      </c>
      <c r="I7" s="123">
        <f t="shared" si="2"/>
        <v>3393.8</v>
      </c>
      <c r="J7" s="123">
        <f t="shared" si="3"/>
        <v>106554.37300000001</v>
      </c>
      <c r="K7" s="123">
        <v>34682.199999999997</v>
      </c>
      <c r="L7">
        <v>23.27</v>
      </c>
      <c r="M7" s="123">
        <f t="shared" si="0"/>
        <v>807054.79399999988</v>
      </c>
      <c r="N7" s="123">
        <v>5523</v>
      </c>
    </row>
    <row r="8" spans="2:14" x14ac:dyDescent="0.25">
      <c r="B8">
        <v>6</v>
      </c>
      <c r="C8" t="s">
        <v>294</v>
      </c>
      <c r="D8" s="123">
        <v>1211.0999999999999</v>
      </c>
      <c r="E8" s="123">
        <v>467.37</v>
      </c>
      <c r="F8" s="123">
        <f t="shared" si="1"/>
        <v>97832.657999999996</v>
      </c>
      <c r="G8" s="123">
        <v>80.78</v>
      </c>
      <c r="H8" s="123">
        <v>799.84</v>
      </c>
      <c r="I8" s="123">
        <f t="shared" si="2"/>
        <v>-332.47</v>
      </c>
      <c r="J8" s="123">
        <f t="shared" si="3"/>
        <v>97500.187999999995</v>
      </c>
      <c r="K8" s="123">
        <v>28351.08</v>
      </c>
      <c r="L8">
        <v>22.81</v>
      </c>
      <c r="M8" s="123">
        <f t="shared" si="0"/>
        <v>646688.1348</v>
      </c>
      <c r="N8" s="123">
        <v>4533.37</v>
      </c>
    </row>
    <row r="9" spans="2:14" x14ac:dyDescent="0.25">
      <c r="B9">
        <v>7</v>
      </c>
      <c r="C9" t="s">
        <v>295</v>
      </c>
      <c r="D9" s="123">
        <v>922.4</v>
      </c>
      <c r="E9" s="123">
        <v>9636.1</v>
      </c>
      <c r="F9" s="123">
        <f t="shared" si="1"/>
        <v>92811.888000000006</v>
      </c>
      <c r="G9" s="123">
        <v>100.62</v>
      </c>
      <c r="H9" s="123">
        <v>2956.8</v>
      </c>
      <c r="I9" s="123">
        <f t="shared" si="2"/>
        <v>6679.3</v>
      </c>
      <c r="J9" s="123">
        <f t="shared" si="3"/>
        <v>99491.188000000009</v>
      </c>
      <c r="K9" s="123">
        <v>26089.3</v>
      </c>
      <c r="L9">
        <v>30.84</v>
      </c>
      <c r="M9" s="123">
        <f t="shared" si="0"/>
        <v>804594.01199999999</v>
      </c>
      <c r="N9" s="123">
        <v>5026.2</v>
      </c>
    </row>
    <row r="10" spans="2:14" x14ac:dyDescent="0.25">
      <c r="B10">
        <v>8</v>
      </c>
      <c r="C10" t="s">
        <v>296</v>
      </c>
      <c r="D10" s="123">
        <v>2077.4</v>
      </c>
      <c r="E10" s="123">
        <v>8368.65</v>
      </c>
      <c r="F10" s="123">
        <f t="shared" si="1"/>
        <v>85755.072</v>
      </c>
      <c r="G10" s="123">
        <v>41.28</v>
      </c>
      <c r="H10" s="123">
        <v>554.5</v>
      </c>
      <c r="I10" s="123">
        <f t="shared" si="2"/>
        <v>7814.15</v>
      </c>
      <c r="J10" s="123">
        <f t="shared" si="3"/>
        <v>93569.221999999994</v>
      </c>
      <c r="K10" s="123">
        <v>13914.08</v>
      </c>
      <c r="L10">
        <v>24.23</v>
      </c>
      <c r="M10" s="123">
        <f t="shared" si="0"/>
        <v>337138.15840000001</v>
      </c>
      <c r="N10" s="123">
        <v>1803.33</v>
      </c>
    </row>
    <row r="11" spans="2:14" x14ac:dyDescent="0.25">
      <c r="B11">
        <v>9</v>
      </c>
      <c r="C11" t="s">
        <v>297</v>
      </c>
      <c r="D11" s="123">
        <v>1339.8</v>
      </c>
      <c r="E11" s="123">
        <v>7794.5</v>
      </c>
      <c r="F11" s="123">
        <f t="shared" si="1"/>
        <v>77815.583999999988</v>
      </c>
      <c r="G11" s="123">
        <v>58.08</v>
      </c>
      <c r="H11" s="123">
        <v>8235.49</v>
      </c>
      <c r="I11" s="123">
        <f t="shared" si="2"/>
        <v>-440.98999999999978</v>
      </c>
      <c r="J11" s="123">
        <f t="shared" si="3"/>
        <v>77374.593999999983</v>
      </c>
      <c r="K11" s="123">
        <v>33181.86</v>
      </c>
      <c r="L11">
        <v>20.54</v>
      </c>
      <c r="M11" s="123">
        <f t="shared" si="0"/>
        <v>681555.4044</v>
      </c>
      <c r="N11" s="123">
        <v>3484.96</v>
      </c>
    </row>
    <row r="12" spans="2:14" x14ac:dyDescent="0.25">
      <c r="B12">
        <v>10</v>
      </c>
      <c r="C12" t="s">
        <v>298</v>
      </c>
      <c r="D12" s="123">
        <v>5364.5</v>
      </c>
      <c r="E12" s="123">
        <v>2355.6</v>
      </c>
      <c r="F12" s="123">
        <f t="shared" si="1"/>
        <v>64159.420000000006</v>
      </c>
      <c r="G12" s="123">
        <v>11.96</v>
      </c>
      <c r="H12" s="123">
        <v>1563.08</v>
      </c>
      <c r="I12" s="123">
        <f t="shared" si="2"/>
        <v>792.52</v>
      </c>
      <c r="J12" s="123">
        <f t="shared" si="3"/>
        <v>64951.94</v>
      </c>
      <c r="K12" s="123">
        <v>14252.7</v>
      </c>
      <c r="L12">
        <v>20.2</v>
      </c>
      <c r="M12" s="123">
        <f t="shared" si="0"/>
        <v>287904.53999999998</v>
      </c>
      <c r="N12" s="123">
        <v>2422.44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Ratio Analysis</vt:lpstr>
      <vt:lpstr>Cash Flow Data</vt:lpstr>
      <vt:lpstr>WACC</vt:lpstr>
      <vt:lpstr>Forecasting</vt:lpstr>
      <vt:lpstr>HistoricalFS</vt:lpstr>
      <vt:lpstr>Intrisic Growth</vt:lpstr>
      <vt:lpstr>Raw FS</vt:lpstr>
      <vt:lpstr>DCF</vt:lpstr>
      <vt:lpstr>Football Field Analysis</vt:lpstr>
      <vt:lpstr>Data Sheet</vt:lpstr>
      <vt:lpstr>Comp_Value</vt:lpstr>
      <vt:lpstr>Data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The Valuation School</cp:lastModifiedBy>
  <cp:lastPrinted>2012-12-06T18:14:13Z</cp:lastPrinted>
  <dcterms:created xsi:type="dcterms:W3CDTF">2012-08-17T09:55:37Z</dcterms:created>
  <dcterms:modified xsi:type="dcterms:W3CDTF">2026-04-29T15:18:22Z</dcterms:modified>
</cp:coreProperties>
</file>